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Parts List" sheetId="3" state="visible" r:id="rId5"/>
    <sheet name="Compare" sheetId="4" state="visible" r:id="rId6"/>
    <sheet name="Formula" sheetId="5" state="visible" r:id="rId7"/>
    <sheet name="Sensitivity" sheetId="6" state="visible" r:id="rId8"/>
    <sheet name="Rent Compare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<sst xmlns="http://schemas.openxmlformats.org/spreadsheetml/2006/main" count="453" uniqueCount="408">
  <si>
    <t xml:space="preserve">HOME COMPUTE NODE — WORK-PER-DOLLAR MODEL</t>
  </si>
  <si>
    <t xml:space="preserve">Single-socket AMD EPYC 9005 (Turin). Buy-vs-rent settled: buy. This picks the machine.</t>
  </si>
  <si>
    <t xml:space="preserve">HOW TO USE</t>
  </si>
  <si>
    <t xml:space="preserve">Blue cells</t>
  </si>
  <si>
    <t xml:space="preserve">Inputs and scenario levers. Edit these. Everything else is a formula.</t>
  </si>
  <si>
    <t xml:space="preserve">Yellow fill</t>
  </si>
  <si>
    <t xml:space="preserve">Key assumptions most likely to be wrong or to move. Check before committing money.</t>
  </si>
  <si>
    <t xml:space="preserve">Green text</t>
  </si>
  <si>
    <t xml:space="preserve">Pulled from another tab.</t>
  </si>
  <si>
    <t xml:space="preserve">Tab: Inputs</t>
  </si>
  <si>
    <t xml:space="preserve">Shared assumptions — electricity, hold period, utilization, RAM $/GB, PSU efficiency.</t>
  </si>
  <si>
    <t xml:space="preserve">Tab: Compare</t>
  </si>
  <si>
    <t xml:space="preserve">The four CPU candidates side by side. Row 37 is the answer.</t>
  </si>
  <si>
    <t xml:space="preserve">Tab: Parts List</t>
  </si>
  <si>
    <t xml:space="preserve">The BOM. Non-CPU parts are identical across all four candidates.</t>
  </si>
  <si>
    <t xml:space="preserve">Tab: Formula</t>
  </si>
  <si>
    <t xml:space="preserve">The model written out. Read this once.</t>
  </si>
  <si>
    <t xml:space="preserve">Tab: Sensitivity</t>
  </si>
  <si>
    <t xml:space="preserve">What would have to be true to change the answer.</t>
  </si>
  <si>
    <t xml:space="preserve">Tab: Rent Compare</t>
  </si>
  <si>
    <t xml:space="preserve">Hetzner, same metric.</t>
  </si>
  <si>
    <t xml:space="preserve">Tab: Sources</t>
  </si>
  <si>
    <t xml:space="preserve">Every number, where it came from, and how solid it is.</t>
  </si>
  <si>
    <t xml:space="preserve">THE ONE METRIC</t>
  </si>
  <si>
    <t xml:space="preserve">Psi  =  TCO / (W x U x Y)</t>
  </si>
  <si>
    <t xml:space="preserve">Dollars per SPECrate-point-year. All-in cost divided by throughput actually delivered. Lower wins.</t>
  </si>
  <si>
    <t xml:space="preserve">It folds capex, watts, utilization, cooling and hold period into one number you can rank on.</t>
  </si>
  <si>
    <t xml:space="preserve">WHAT THE MODEL SAYS</t>
  </si>
  <si>
    <t xml:space="preserve">Winner</t>
  </si>
  <si>
    <t xml:space="preserve">Best perf/watt</t>
  </si>
  <si>
    <t xml:space="preserve">CONFIDENCE</t>
  </si>
  <si>
    <t xml:space="preserve">Solid: 2-socket SPECrate scores (spec.org vendor submissions), CPU street prices, cTDP ranges, board specs.</t>
  </si>
  <si>
    <t xml:space="preserve">Estimated: 1-socket work rates (scaled from 2P by a factor calibrated on the 9745, where both are measured).</t>
  </si>
  <si>
    <t xml:space="preserve">Estimated: the 9965 derate at 450W. Phoronix measured the 9745 at 320W; nobody published 450-vs-500 on the 9965.</t>
  </si>
  <si>
    <t xml:space="preserve">Volatile: DDR5 RDIMM $/GB. Moving weekly. Re-check the day you buy.</t>
  </si>
  <si>
    <t xml:space="preserve">The ranking survives the estimates, because the 1P scaling factor is applied identically to every candidate.</t>
  </si>
  <si>
    <t xml:space="preserve">SHARED INPUTS</t>
  </si>
  <si>
    <t xml:space="preserve">Blue = edit. These drive every tab.</t>
  </si>
  <si>
    <t xml:space="preserve">OPERATING</t>
  </si>
  <si>
    <t xml:space="preserve">Symbol</t>
  </si>
  <si>
    <t xml:space="preserve">Value</t>
  </si>
  <si>
    <t xml:space="preserve">Unit</t>
  </si>
  <si>
    <t xml:space="preserve">Note</t>
  </si>
  <si>
    <t xml:space="preserve">Y — hold period</t>
  </si>
  <si>
    <t xml:space="preserve">years</t>
  </si>
  <si>
    <t xml:space="preserve">Turin shipped Oct-2024. 10 yr means running to 2036; 5 yr is the realistic economic life.</t>
  </si>
  <si>
    <t xml:space="preserve">U — utilization</t>
  </si>
  <si>
    <t xml:space="preserve">fraction</t>
  </si>
  <si>
    <t xml:space="preserve">Share of wall-clock the box is actually loaded. 1.00 = your stated 24/7 plan.</t>
  </si>
  <si>
    <t xml:space="preserve">Hours per year</t>
  </si>
  <si>
    <t xml:space="preserve">h</t>
  </si>
  <si>
    <t xml:space="preserve">365.25 x 24.</t>
  </si>
  <si>
    <t xml:space="preserve">r — electricity price</t>
  </si>
  <si>
    <t xml:space="preserve">$/kWh</t>
  </si>
  <si>
    <t xml:space="preserve">BGE price-to-compare 14.6c generation-only; MD residential all-in averages 16-22c. 20c is fair-to-conservative.</t>
  </si>
  <si>
    <t xml:space="preserve">e — electricity escalation</t>
  </si>
  <si>
    <t xml:space="preserve">%/yr</t>
  </si>
  <si>
    <t xml:space="preserve">MD rates rose ~3.8% YoY. Set 0.03 to see the escalated case. 0 reproduces the flat-rate numbers.</t>
  </si>
  <si>
    <t xml:space="preserve">d — discount rate</t>
  </si>
  <si>
    <t xml:space="preserve">Set 0.08 to price $15k today against energy spread over a decade. 0 = nominal.</t>
  </si>
  <si>
    <t xml:space="preserve">SYSTEM</t>
  </si>
  <si>
    <t xml:space="preserve">P_plat — platform draw</t>
  </si>
  <si>
    <t xml:space="preserve">W</t>
  </si>
  <si>
    <t xml:space="preserve">Board + 12 DIMMs + NVMe + fans + BMC. 12 DDR5 RDIMMs alone run ~50-70W loaded, so 100 is on the optimistic side.</t>
  </si>
  <si>
    <t xml:space="preserve">eta — PSU efficiency</t>
  </si>
  <si>
    <t xml:space="preserve">80+ Titanium is ~94% at 50% load. 0.92 is conservative.</t>
  </si>
  <si>
    <t xml:space="preserve">k — cooling overhead</t>
  </si>
  <si>
    <t xml:space="preserve">x</t>
  </si>
  <si>
    <t xml:space="preserve">1.00 if the space is unconditioned. ~1.10 for a Maryland basement on AC in summer (COP~3), netted against the winter heating credit.</t>
  </si>
  <si>
    <t xml:space="preserve">P_idle — idle wall draw</t>
  </si>
  <si>
    <t xml:space="preserve">Only matters when U &lt; 1.</t>
  </si>
  <si>
    <t xml:space="preserve">S — residual value at year Y</t>
  </si>
  <si>
    <t xml:space="preserve">$</t>
  </si>
  <si>
    <t xml:space="preserve">Conservative zero. Used EPYC holds value; set it if you plan to resell.</t>
  </si>
  <si>
    <t xml:space="preserve">MEMORY (the volatile line)</t>
  </si>
  <si>
    <t xml:space="preserve">DIMM slots populated</t>
  </si>
  <si>
    <t xml:space="preserve">ea</t>
  </si>
  <si>
    <t xml:space="preserve">All 12 channels. Never populate fewer — bandwidth scales with channels.</t>
  </si>
  <si>
    <t xml:space="preserve">GB per DIMM</t>
  </si>
  <si>
    <t xml:space="preserve">GB</t>
  </si>
  <si>
    <t xml:space="preserve">32 gives 2GB/core on the 9965 and is dual-rank. 16 halves the cost but is single-rank x8 and gives up achieved bandwidth.</t>
  </si>
  <si>
    <t xml:space="preserve">DDR5-6400 RDIMM price</t>
  </si>
  <si>
    <t xml:space="preserve">$/GB</t>
  </si>
  <si>
    <t xml:space="preserve">Observed band $29.56-$39.06/GB, median $35.70 (Aug-2026). RE-CHECK THE DAY YOU BUY.</t>
  </si>
  <si>
    <t xml:space="preserve">Total memory</t>
  </si>
  <si>
    <t xml:space="preserve">Memory cost</t>
  </si>
  <si>
    <t xml:space="preserve">BENCHMARK CALIBRATION</t>
  </si>
  <si>
    <t xml:space="preserve">sigma — 1P scaling factor</t>
  </si>
  <si>
    <t xml:space="preserve">Calibrated on the 9745, the only part with both published: 1P 1,230 / 2P 2,340 = 0.5256. Applied identically to all candidates, so it cancels out of the ranking.</t>
  </si>
  <si>
    <t xml:space="preserve">phi — derate at minimum cTDP</t>
  </si>
  <si>
    <t xml:space="preserve">Phoronix, 555-benchmark geomean: the 9745 at 320W cTDP delivered ~98% of its 400W performance. A 20% TDP cut for 2% throughput.</t>
  </si>
  <si>
    <t xml:space="preserve">DERIVED</t>
  </si>
  <si>
    <t xml:space="preserve">Energy year-factor</t>
  </si>
  <si>
    <t xml:space="preserve">Sum of (1+e)^t over the hold. Equals Y when escalation is zero.</t>
  </si>
  <si>
    <t xml:space="preserve">NPV year-factor</t>
  </si>
  <si>
    <t xml:space="preserve">Same series discounted at d. Equals the energy year-factor when d = 0.</t>
  </si>
  <si>
    <t xml:space="preserve">PARTS LIST — SINGLE NODE</t>
  </si>
  <si>
    <t xml:space="preserve">Non-CPU parts are identical across all four CPU candidates, so they cancel out of the comparison. The CPU is the only variable.</t>
  </si>
  <si>
    <t xml:space="preserve">Item</t>
  </si>
  <si>
    <t xml:space="preserve">Spec</t>
  </si>
  <si>
    <t xml:space="preserve">Qty</t>
  </si>
  <si>
    <t xml:space="preserve">Unit $</t>
  </si>
  <si>
    <t xml:space="preserve">Ext $</t>
  </si>
  <si>
    <t xml:space="preserve">Status</t>
  </si>
  <si>
    <t xml:space="preserve">Motherboard</t>
  </si>
  <si>
    <t xml:space="preserve">Gigabyte MZ33-AR1 — SP5, E-ATX, 24x DDR5 RDIMM, cTDP to 500W, 4x PCIe5 x16, 2x 10GbE, IPMI</t>
  </si>
  <si>
    <t xml:space="preserve">Confirm</t>
  </si>
  <si>
    <t xml:space="preserve">Supports every candidate including the 500W parts. This is the board Phoronix benched the 9745 on. Phoronix put it near $700; eBay/Newegg run $1,000-1,250.</t>
  </si>
  <si>
    <t xml:space="preserve">CPU</t>
  </si>
  <si>
    <t xml:space="preserve">Auto-selected as the lowest Psi on the Compare tab. Street prices move; re-quote before ordering.</t>
  </si>
  <si>
    <t xml:space="preserve">Memory</t>
  </si>
  <si>
    <t xml:space="preserve">DDR5-6400 RDIMM, 2Rx8, ECC Registered — Samsung/Hynix/Micron</t>
  </si>
  <si>
    <t xml:space="preserve">VOLATILE</t>
  </si>
  <si>
    <t xml:space="preserve">Driven by the Inputs tab. Dual-rank matters: every SPECrate result behind this model used 2Rx4 modules.</t>
  </si>
  <si>
    <t xml:space="preserve">Chassis</t>
  </si>
  <si>
    <t xml:space="preserve">4U rackmount, SP5 clearance, front-to-back airflow</t>
  </si>
  <si>
    <t xml:space="preserve">Est</t>
  </si>
  <si>
    <t xml:space="preserve">Rosewill RSV-L4500 class or similar.</t>
  </si>
  <si>
    <t xml:space="preserve">PSU</t>
  </si>
  <si>
    <t xml:space="preserve">1000W 80+ Titanium, single rail</t>
  </si>
  <si>
    <t xml:space="preserve">At ~598W wall the unit sits near 60% load — the peak-efficiency band.</t>
  </si>
  <si>
    <t xml:space="preserve">CPU cooler</t>
  </si>
  <si>
    <t xml:space="preserve">SP5 4U active tower or 360mm AIO rated 500W+</t>
  </si>
  <si>
    <t xml:space="preserve">Must be rated above the cTDP you actually run.</t>
  </si>
  <si>
    <t xml:space="preserve">Boot / scratch</t>
  </si>
  <si>
    <t xml:space="preserve">2TB NVMe PCIe Gen4</t>
  </si>
  <si>
    <t xml:space="preserve">NAND is inflated alongside DRAM. Add bulk storage separately if jobs need it.</t>
  </si>
  <si>
    <t xml:space="preserve">Fans</t>
  </si>
  <si>
    <t xml:space="preserve">4U high-static-pressure set</t>
  </si>
  <si>
    <t xml:space="preserve">Misc</t>
  </si>
  <si>
    <t xml:space="preserve">Rails, SATA/MCIO cables, thermal paste, IPMI cable</t>
  </si>
  <si>
    <t xml:space="preserve">Non-CPU subtotal</t>
  </si>
  <si>
    <t xml:space="preserve">Identical across all four CPU candidates. This is the figure the Compare tab pulls.</t>
  </si>
  <si>
    <t xml:space="preserve">TOTAL CAPEX — as configured</t>
  </si>
  <si>
    <t xml:space="preserve">Non-CPU subtotal plus the winning CPU.</t>
  </si>
  <si>
    <t xml:space="preserve">NOT IN THIS BOM</t>
  </si>
  <si>
    <t xml:space="preserve">Network switch, UPS, rack, PDU — assumed already present in the lab.</t>
  </si>
  <si>
    <t xml:space="preserve">Bulk data storage beyond the 2TB scratch drive.</t>
  </si>
  <si>
    <t xml:space="preserve">Sales tax and shipping.</t>
  </si>
  <si>
    <t xml:space="preserve">Your time. A DIY SP5 build is a weekend if the BIOS cooperates and longer if it does not.</t>
  </si>
  <si>
    <t xml:space="preserve">CPU CANDIDATES — FULL MATH</t>
  </si>
  <si>
    <t xml:space="preserve">Metric</t>
  </si>
  <si>
    <t xml:space="preserve">9965</t>
  </si>
  <si>
    <t xml:space="preserve">9845</t>
  </si>
  <si>
    <t xml:space="preserve">9755</t>
  </si>
  <si>
    <t xml:space="preserve">9745</t>
  </si>
  <si>
    <t xml:space="preserve">SPECIFICATION</t>
  </si>
  <si>
    <t xml:space="preserve">Cores</t>
  </si>
  <si>
    <t xml:space="preserve">Architecture</t>
  </si>
  <si>
    <t xml:space="preserve">Zen 5c</t>
  </si>
  <si>
    <t xml:space="preserve">Zen 5</t>
  </si>
  <si>
    <t xml:space="preserve">L3 cache (MB)</t>
  </si>
  <si>
    <t xml:space="preserve">The 9755 carries double the 9745 L3 — the only candidate with a cache-locality argument.</t>
  </si>
  <si>
    <t xml:space="preserve">Default TDP (W)</t>
  </si>
  <si>
    <t xml:space="preserve">cTDP floor (W)</t>
  </si>
  <si>
    <t xml:space="preserve">The 9965 cannot go below 450W. The Zen 5c 400W parts floor at 320W.</t>
  </si>
  <si>
    <t xml:space="preserve">Memory bandwidth (GB/s)</t>
  </si>
  <si>
    <t xml:space="preserve">Identical 12-channel DDR5-6400 pipe on every candidate. More cores = less bandwidth per core.</t>
  </si>
  <si>
    <t xml:space="preserve">Bandwidth per core (GB/s)</t>
  </si>
  <si>
    <t xml:space="preserve">The 9965 gets 3.2 GB/s/core vs 4.8 on the 128-core parts. Matters only if your jobs stream.</t>
  </si>
  <si>
    <t xml:space="preserve">RUN CONFIGURATION</t>
  </si>
  <si>
    <t xml:space="preserve">P_cpu — cTDP setting (W)</t>
  </si>
  <si>
    <t xml:space="preserve">Run every part at its floor. This is the single biggest efficiency lever and it is free.</t>
  </si>
  <si>
    <t xml:space="preserve">phi — derate factor</t>
  </si>
  <si>
    <t xml:space="preserve">0.98 measured on the 9745 at 320W. 0.99 on the 9965 at 450W is an ESTIMATE — a 10% TDP cut vs the 20% Phoronix tested. 9755 runs stock.</t>
  </si>
  <si>
    <t xml:space="preserve">RAM per core (GB)</t>
  </si>
  <si>
    <t xml:space="preserve">At 12x32GB. Drop to 16GB modules and these halve.</t>
  </si>
  <si>
    <t xml:space="preserve">WORK RATE</t>
  </si>
  <si>
    <t xml:space="preserve">2P SPECrate2017_int_base</t>
  </si>
  <si>
    <t xml:space="preserve">MEASURED, spec.org vendor submissions. 9965 median of 4 results; 9845 single Dell result; 9745 median of 4; 9755 derived (see Sources) and the weakest of the four.</t>
  </si>
  <si>
    <t xml:space="preserve">W — work rate (1P pts)</t>
  </si>
  <si>
    <t xml:space="preserve">W = 2P score x sigma x phi. The 9745 lands at ~1,225 here against a measured 1P range of 1,170-1,270 — the scaling factor checks out.</t>
  </si>
  <si>
    <t xml:space="preserve">POWER</t>
  </si>
  <si>
    <t xml:space="preserve">P_wall — loaded draw (W)</t>
  </si>
  <si>
    <t xml:space="preserve">(P_cpu + platform) / PSU efficiency.</t>
  </si>
  <si>
    <t xml:space="preserve">P_eff — duty-weighted (W)</t>
  </si>
  <si>
    <t xml:space="preserve">Blends loaded and idle draw by utilization. Equals P_wall when U = 1.</t>
  </si>
  <si>
    <t xml:space="preserve">kWh per year</t>
  </si>
  <si>
    <t xml:space="preserve">Includes the cooling multiplier k.</t>
  </si>
  <si>
    <t xml:space="preserve">COST</t>
  </si>
  <si>
    <t xml:space="preserve">CPU street price</t>
  </si>
  <si>
    <t xml:space="preserve">New, US channel. The 9965 collapsed from its $14,813 launch MSRP; the 9845 never did, which is what costs it the win.</t>
  </si>
  <si>
    <t xml:space="preserve">Non-CPU capex</t>
  </si>
  <si>
    <t xml:space="preserve">Board, 12 DIMMs, chassis, PSU, cooler, NVMe. Identical for all four — it cancels out of the ranking.</t>
  </si>
  <si>
    <t xml:space="preserve">C — total capex</t>
  </si>
  <si>
    <t xml:space="preserve">E — energy over hold</t>
  </si>
  <si>
    <t xml:space="preserve">kWh/yr x price x year-factor. Year-factor carries the escalation rate.</t>
  </si>
  <si>
    <t xml:space="preserve">S — residual value</t>
  </si>
  <si>
    <t xml:space="preserve">TCO</t>
  </si>
  <si>
    <t xml:space="preserve">RESULTS</t>
  </si>
  <si>
    <t xml:space="preserve">Work delivered (pt-years)</t>
  </si>
  <si>
    <t xml:space="preserve">W x U x Y.</t>
  </si>
  <si>
    <t xml:space="preserve">Psi — $ / SPECrate-pt-year</t>
  </si>
  <si>
    <t xml:space="preserve">THE ANSWER. Lowest wins.</t>
  </si>
  <si>
    <t xml:space="preserve">epsilon — pts per wall watt</t>
  </si>
  <si>
    <t xml:space="preserve">Perf/watt. Note this ranks differently from Psi — efficiency and value are not the same question.</t>
  </si>
  <si>
    <t xml:space="preserve">theta — energy share of TCO</t>
  </si>
  <si>
    <t xml:space="preserve">How much of the ten-year bill is electricity rather than hardware.</t>
  </si>
  <si>
    <t xml:space="preserve">Rank by Psi</t>
  </si>
  <si>
    <t xml:space="preserve">Penalty vs winner</t>
  </si>
  <si>
    <t xml:space="preserve">How much more you pay per unit of work by picking this instead of the winner.</t>
  </si>
  <si>
    <t xml:space="preserve">VERDICT</t>
  </si>
  <si>
    <t xml:space="preserve">THE MODEL</t>
  </si>
  <si>
    <t xml:space="preserve">Everything on the Compare tab is these eleven lines.</t>
  </si>
  <si>
    <t xml:space="preserve">Definition</t>
  </si>
  <si>
    <t xml:space="preserve">Meaning</t>
  </si>
  <si>
    <t xml:space="preserve">INPUTS — measured or quoted</t>
  </si>
  <si>
    <t xml:space="preserve">R2</t>
  </si>
  <si>
    <t xml:space="preserve">2-socket SPECrate2017_int_base</t>
  </si>
  <si>
    <t xml:space="preserve">Vendor-published throughput score. The only work number anyone actually measured.</t>
  </si>
  <si>
    <t xml:space="preserve">sigma</t>
  </si>
  <si>
    <t xml:space="preserve">1P scaling factor: 0.5256</t>
  </si>
  <si>
    <t xml:space="preserve">Converts a 2-socket score to 1-socket. Calibrated on the one part with both published.</t>
  </si>
  <si>
    <t xml:space="preserve">phi</t>
  </si>
  <si>
    <t xml:space="preserve">cTDP derate factor</t>
  </si>
  <si>
    <t xml:space="preserve">Throughput retained when you cap the part below its default TDP.</t>
  </si>
  <si>
    <t xml:space="preserve">P_cpu</t>
  </si>
  <si>
    <t xml:space="preserve">cTDP setting, watts</t>
  </si>
  <si>
    <t xml:space="preserve">What you set in BIOS.</t>
  </si>
  <si>
    <t xml:space="preserve">C_cpu</t>
  </si>
  <si>
    <t xml:space="preserve">CPU street price, $</t>
  </si>
  <si>
    <t xml:space="preserve">C_rest</t>
  </si>
  <si>
    <t xml:space="preserve">Non-CPU capex, $</t>
  </si>
  <si>
    <t xml:space="preserve">Board, memory, chassis, PSU, cooling, disk.</t>
  </si>
  <si>
    <t xml:space="preserve">P_plat</t>
  </si>
  <si>
    <t xml:space="preserve">Platform draw, watts</t>
  </si>
  <si>
    <t xml:space="preserve">Everything on the board that is not the CPU.</t>
  </si>
  <si>
    <t xml:space="preserve">eta</t>
  </si>
  <si>
    <t xml:space="preserve">PSU efficiency, 0-1</t>
  </si>
  <si>
    <t xml:space="preserve">k</t>
  </si>
  <si>
    <t xml:space="preserve">Cooling overhead multiplier</t>
  </si>
  <si>
    <t xml:space="preserve">Watts of heat removal per watt of compute, plus 1.</t>
  </si>
  <si>
    <t xml:space="preserve">U</t>
  </si>
  <si>
    <t xml:space="preserve">Utilization, 0-1</t>
  </si>
  <si>
    <t xml:space="preserve">Fraction of wall-clock actually doing work.</t>
  </si>
  <si>
    <t xml:space="preserve">P_idle</t>
  </si>
  <si>
    <t xml:space="preserve">Idle wall draw, watts</t>
  </si>
  <si>
    <t xml:space="preserve">r, e, d</t>
  </si>
  <si>
    <t xml:space="preserve">Electricity $/kWh, escalation, discount</t>
  </si>
  <si>
    <t xml:space="preserve">Y</t>
  </si>
  <si>
    <t xml:space="preserve">Hold period, years</t>
  </si>
  <si>
    <t xml:space="preserve">S</t>
  </si>
  <si>
    <t xml:space="preserve">Residual value at year Y, $</t>
  </si>
  <si>
    <t xml:space="preserve">DERIVED — in order</t>
  </si>
  <si>
    <t xml:space="preserve">1  W</t>
  </si>
  <si>
    <t xml:space="preserve"> = R2 x sigma x phi</t>
  </si>
  <si>
    <t xml:space="preserve">Work rate. Throughput this box sustains.</t>
  </si>
  <si>
    <t xml:space="preserve">2  P_wall</t>
  </si>
  <si>
    <t xml:space="preserve"> = (P_cpu + P_plat) / eta</t>
  </si>
  <si>
    <t xml:space="preserve">Wall draw under load.</t>
  </si>
  <si>
    <t xml:space="preserve">3  P_eff</t>
  </si>
  <si>
    <t xml:space="preserve"> = U x P_wall + (1-U) x P_idle</t>
  </si>
  <si>
    <t xml:space="preserve">Duty-cycle-weighted draw. Equals P_wall at full utilization.</t>
  </si>
  <si>
    <t xml:space="preserve">4  kWh/yr</t>
  </si>
  <si>
    <t xml:space="preserve"> = P_eff x k x 8766 / 1000</t>
  </si>
  <si>
    <t xml:space="preserve">Annual energy, cooling included.</t>
  </si>
  <si>
    <t xml:space="preserve">5  E</t>
  </si>
  <si>
    <t xml:space="preserve"> = kWh/yr x r x [(1+e)^Y - 1] / e</t>
  </si>
  <si>
    <t xml:space="preserve">Energy cost over the hold. Reduces to kWh/yr x r x Y when e = 0.</t>
  </si>
  <si>
    <t xml:space="preserve">6  C</t>
  </si>
  <si>
    <t xml:space="preserve"> = C_cpu + C_rest</t>
  </si>
  <si>
    <t xml:space="preserve">Capex.</t>
  </si>
  <si>
    <t xml:space="preserve">7  TCO</t>
  </si>
  <si>
    <t xml:space="preserve"> = C + E - S</t>
  </si>
  <si>
    <t xml:space="preserve">All-in cost of ownership.</t>
  </si>
  <si>
    <t xml:space="preserve">8  Work</t>
  </si>
  <si>
    <t xml:space="preserve"> = W x U x Y</t>
  </si>
  <si>
    <t xml:space="preserve">Throughput actually delivered, in point-years.</t>
  </si>
  <si>
    <t xml:space="preserve">9  PSI</t>
  </si>
  <si>
    <t xml:space="preserve"> = TCO / Work</t>
  </si>
  <si>
    <t xml:space="preserve">DOLLARS PER SPECRATE-POINT-YEAR. Rank on this. Lower wins.</t>
  </si>
  <si>
    <t xml:space="preserve">10 epsilon</t>
  </si>
  <si>
    <t xml:space="preserve"> = W / P_wall</t>
  </si>
  <si>
    <t xml:space="preserve">Perf per wall watt. Efficiency, not value — it can rank differently from Psi.</t>
  </si>
  <si>
    <t xml:space="preserve">11 theta</t>
  </si>
  <si>
    <t xml:space="preserve"> = E / TCO</t>
  </si>
  <si>
    <t xml:space="preserve">Share of the bill that is electricity.</t>
  </si>
  <si>
    <t xml:space="preserve">12 Psi_npv</t>
  </si>
  <si>
    <t xml:space="preserve"> = [C + E_npv - S/(1+d)^Y] / Work</t>
  </si>
  <si>
    <t xml:space="preserve">Psi with future energy discounted to today. Set d on the Inputs tab.</t>
  </si>
  <si>
    <t xml:space="preserve">RENT COMPARISON</t>
  </si>
  <si>
    <t xml:space="preserve">13 Psi_rent</t>
  </si>
  <si>
    <t xml:space="preserve"> = (monthly x 12) / R_1P</t>
  </si>
  <si>
    <t xml:space="preserve">Same units. Directly comparable to Psi.</t>
  </si>
  <si>
    <t xml:space="preserve">14 Ratio</t>
  </si>
  <si>
    <t xml:space="preserve"> = Psi_rent / Psi</t>
  </si>
  <si>
    <t xml:space="preserve">How many times cheaper it is to own.</t>
  </si>
  <si>
    <t xml:space="preserve">WHY THIS METRIC AND NOT ANOTHER</t>
  </si>
  <si>
    <t xml:space="preserve">$/watt alone ignores that a box doing more work is worth more watts. It picks small, slow parts.</t>
  </si>
  <si>
    <t xml:space="preserve">Perf/watt alone ignores capex. It picks the 9845 here, which costs more per unit of work delivered.</t>
  </si>
  <si>
    <t xml:space="preserve">$/core is meaningless across architectures — a Zen 5c core and a Zen 5 core are not the same unit.</t>
  </si>
  <si>
    <t xml:space="preserve">PassMark saturates past roughly 100 cores and compresses the real gap. SPECrate does not. That is why it is gone.</t>
  </si>
  <si>
    <t xml:space="preserve">Psi is the only one that answers the actual question: what does a unit of sustained throughput cost me per year, all in.</t>
  </si>
  <si>
    <t xml:space="preserve">SENSITIVITY — WHAT WOULD CHANGE THE ANSWER</t>
  </si>
  <si>
    <t xml:space="preserve">Each block recomputes Psi live from the Compare tab, varying one thing.</t>
  </si>
  <si>
    <t xml:space="preserve">A.  ELECTRICITY PRICE  ($/kWh)</t>
  </si>
  <si>
    <t xml:space="preserve">Psi at...</t>
  </si>
  <si>
    <t xml:space="preserve">The 9965 wins at every plausible power price. Its work advantage is too large to overcome with watts.</t>
  </si>
  <si>
    <t xml:space="preserve">B.  HOLD PERIOD  (years)</t>
  </si>
  <si>
    <t xml:space="preserve">Shorter holds punish capex and reward efficiency. Ranking does not flip, but the absolute number roughly doubles at 5 years.</t>
  </si>
  <si>
    <t xml:space="preserve">C.  BREAKEVENS</t>
  </si>
  <si>
    <t xml:space="preserve">Question</t>
  </si>
  <si>
    <t xml:space="preserve">Answer</t>
  </si>
  <si>
    <t xml:space="preserve">Solved algebraically against the current winner.</t>
  </si>
  <si>
    <t xml:space="preserve">9845 CPU price that ties the 9965</t>
  </si>
  <si>
    <t xml:space="preserve">The 9845 is the perf/watt champion. This is what it would have to cost to also be the value champion. Compare to its ~$9,684 street.</t>
  </si>
  <si>
    <t xml:space="preserve">9745 CPU price that ties the 9965</t>
  </si>
  <si>
    <t xml:space="preserve">Against ~$7,200 street. A negative number means it cannot get there at any price.</t>
  </si>
  <si>
    <t xml:space="preserve">9755 CPU price that ties the 9965</t>
  </si>
  <si>
    <t xml:space="preserve">Against ~$6,500 street.</t>
  </si>
  <si>
    <t xml:space="preserve">Energy as % of 10-yr TCO (winner)</t>
  </si>
  <si>
    <t xml:space="preserve">If this is small, you are buying hardware, not electricity — and the cTDP argument matters less than the price argument.</t>
  </si>
  <si>
    <t xml:space="preserve">D.  MEMORY — THE REAL LEVER</t>
  </si>
  <si>
    <t xml:space="preserve">Winner Psi</t>
  </si>
  <si>
    <t xml:space="preserve">Memory is identical across candidates so it never changes the ranking — but it is the largest single number you control.</t>
  </si>
  <si>
    <t xml:space="preserve">Pre-shortage $/GB was roughly $8. Waiting for normalisation is worth more than any CPU decision on this sheet.</t>
  </si>
  <si>
    <t xml:space="preserve">OWN vs RENT — SAME METRIC</t>
  </si>
  <si>
    <t xml:space="preserve">Hetzner repriced 15 June 2026. Cloud instances rose 128-205%; dedicated followed.</t>
  </si>
  <si>
    <t xml:space="preserve">Option</t>
  </si>
  <si>
    <t xml:space="preserve">SPECrate 1P</t>
  </si>
  <si>
    <t xml:space="preserve">$ / month</t>
  </si>
  <si>
    <t xml:space="preserve">$ / pt-year</t>
  </si>
  <si>
    <t xml:space="preserve">x vs owning</t>
  </si>
  <si>
    <t xml:space="preserve">YOUR NODE (winner)</t>
  </si>
  <si>
    <t xml:space="preserve">1.00x</t>
  </si>
  <si>
    <t xml:space="preserve">Amortised all-in. Change the hold period on Inputs to see the 5-year figure.</t>
  </si>
  <si>
    <t xml:space="preserve">Hetzner AX162-1</t>
  </si>
  <si>
    <t xml:space="preserve">EPYC 9454P, 48 Zen 4 cores. Standard tier, excl. IPv4 and VAT, plus $359 setup. Launched at EUR 199/mo in Feb-2024.</t>
  </si>
  <si>
    <t xml:space="preserve">Hetzner AX162-1-LTD</t>
  </si>
  <si>
    <t xml:space="preserve">Same box, limited-supply tier. Availability is not guaranteed and cannot be counted on for fleet planning.</t>
  </si>
  <si>
    <t xml:space="preserve">Boxes needed to match your node</t>
  </si>
  <si>
    <t xml:space="preserve">That fleet, per year</t>
  </si>
  <si>
    <t xml:space="preserve">Compare to your entire hold-period TCO. One year of equivalent rental costs more than a decade of owning.</t>
  </si>
  <si>
    <t xml:space="preserve">WHAT RENTING BUYS THAT THIS MODEL DOES NOT PRICE</t>
  </si>
  <si>
    <t xml:space="preserve">Hardware replacement, redundant power, and someone else on call at 3am.</t>
  </si>
  <si>
    <t xml:space="preserve">The option to stop paying. Your capex is sunk on day one; a rental is cancellable monthly.</t>
  </si>
  <si>
    <t xml:space="preserve">No exposure to the DRAM market. Hetzner ate that risk and passed some of it through — you would eat all of it.</t>
  </si>
  <si>
    <t xml:space="preserve">Against that: dedicated is EU-only, which is irrelevant for hand-fed batch jobs but not for anything interactive.</t>
  </si>
  <si>
    <t xml:space="preserve">SOURCES &amp; CONFIDENCE</t>
  </si>
  <si>
    <t xml:space="preserve">Every hardcoded number in this workbook. Checked August 2026.</t>
  </si>
  <si>
    <t xml:space="preserve">Figure</t>
  </si>
  <si>
    <t xml:space="preserve">Confidence</t>
  </si>
  <si>
    <t xml:space="preserve">Source</t>
  </si>
  <si>
    <t xml:space="preserve">9965 2P SPECrate int_base</t>
  </si>
  <si>
    <t xml:space="preserve">3,100-3,230</t>
  </si>
  <si>
    <t xml:space="preserve">Measured</t>
  </si>
  <si>
    <t xml:space="preserve">spec.org vendor submissions: ASUS RS720A-E13 3,230; Kaytus KR1280V3 3,150; H3C R4950 G7 3,130; Gigabyte R183-Z93 3,100. Median 3,140 used.</t>
  </si>
  <si>
    <t xml:space="preserve">9845 2P SPECrate int_base</t>
  </si>
  <si>
    <t xml:space="preserve">2,620</t>
  </si>
  <si>
    <t xml:space="preserve">Measured (n=1)</t>
  </si>
  <si>
    <t xml:space="preserve">spec.org, Dell PowerEdge M7725, Mar-2025. Only one published result — the thinnest evidence of the four.</t>
  </si>
  <si>
    <t xml:space="preserve">9745 2P SPECrate int_base</t>
  </si>
  <si>
    <t xml:space="preserve">2,290-2,400</t>
  </si>
  <si>
    <t xml:space="preserve">spec.org: Fujitsu RX2450 M2 2,290; Lenovo SR665 V3 2,300; Dell R6725 2,340; Dell R7725 2,400. Median 2,330 used.</t>
  </si>
  <si>
    <t xml:space="preserve">9745 1P SPECrate int_base</t>
  </si>
  <si>
    <t xml:space="preserve">1,170-1,270</t>
  </si>
  <si>
    <t xml:space="preserve">spec.org: Dell R6715 1,170; xFusion 2158H V8 1,230; ASUS RS520QA 1,270. Used only to calibrate sigma.</t>
  </si>
  <si>
    <t xml:space="preserve">9755 2P SPECrate int_base</t>
  </si>
  <si>
    <t xml:space="preserve">2,589</t>
  </si>
  <si>
    <t xml:space="preserve">No published SPECrate found. Back-solved from Phoronix: the 9745 hit ~90% of the 9755 across a 555-benchmark geomean. Treat as the softest number here.</t>
  </si>
  <si>
    <t xml:space="preserve">sigma (1P scaling)</t>
  </si>
  <si>
    <t xml:space="preserve">0.5256</t>
  </si>
  <si>
    <t xml:space="preserve">Calibrated</t>
  </si>
  <si>
    <t xml:space="preserve">9745 1P median 1,230 / 9745 2P median 2,340. Applied identically to all four, so it does not affect the ranking.</t>
  </si>
  <si>
    <t xml:space="preserve">phi at 320W cTDP</t>
  </si>
  <si>
    <t xml:space="preserve">0.98</t>
  </si>
  <si>
    <t xml:space="preserve">Phoronix, Mar-2026 (Gigabyte MZ33-AR1): the 9745 at 320W cTDP delivered ~98% of its 400W performance. Peak CPU draw was 379W at the 400W rating.</t>
  </si>
  <si>
    <t xml:space="preserve">phi at 450W on the 9965</t>
  </si>
  <si>
    <t xml:space="preserve">0.99</t>
  </si>
  <si>
    <t xml:space="preserve">ESTIMATE</t>
  </si>
  <si>
    <t xml:space="preserve">Nobody published 450-vs-500 on the 9965. Extrapolated from the 9745 result, adjusted for the smaller cut (10% vs 20%). This is my number, not a measurement.</t>
  </si>
  <si>
    <t xml:space="preserve">9965 street price</t>
  </si>
  <si>
    <t xml:space="preserve">~$7,000</t>
  </si>
  <si>
    <t xml:space="preserve">Current</t>
  </si>
  <si>
    <t xml:space="preserve">AMD 1kU cut from $14,813 to $11,988. US eBay new listings ~$6,995; TechRadar tracked sub-$6,000 new in Jun-2026. Volatile.</t>
  </si>
  <si>
    <t xml:space="preserve">9845 street price</t>
  </si>
  <si>
    <t xml:space="preserve">$9,684</t>
  </si>
  <si>
    <t xml:space="preserve">IT Creations, new, unlocked tray. AMD 1kU $11,411. Notably has NOT seen the discounting the 9965 did.</t>
  </si>
  <si>
    <t xml:space="preserve">9755 street price</t>
  </si>
  <si>
    <t xml:space="preserve">~$6,500</t>
  </si>
  <si>
    <t xml:space="preserve">Phoronix noted ~$7,200 at major retailers Mar-2026; an eBay dealer listed $6,169.</t>
  </si>
  <si>
    <t xml:space="preserve">9745 street price</t>
  </si>
  <si>
    <t xml:space="preserve">~$7,200</t>
  </si>
  <si>
    <t xml:space="preserve">Phoronix, Mar-2026. AMD 1kU cut from $12,141 to $10,588. IT Creations $7,950-8,340.</t>
  </si>
  <si>
    <t xml:space="preserve">cTDP ranges</t>
  </si>
  <si>
    <t xml:space="preserve">450-500 / 320-400</t>
  </si>
  <si>
    <t xml:space="preserve">Confirmed</t>
  </si>
  <si>
    <t xml:space="preserve">AMD product pages. 9965: 450-500W. 9745 and 9845: 320-400W.</t>
  </si>
  <si>
    <t xml:space="preserve">Memory bandwidth</t>
  </si>
  <si>
    <t xml:space="preserve">614 GB/s</t>
  </si>
  <si>
    <t xml:space="preserve">AMD product pages. All 9005 candidates: 12-channel, up to DDR5-6400, 614 GB/s per socket.</t>
  </si>
  <si>
    <t xml:space="preserve">DDR5-6400 RDIMM $/GB</t>
  </si>
  <si>
    <t xml:space="preserve">$29.56-39.06</t>
  </si>
  <si>
    <t xml:space="preserve">DatacenterDisk live ECC RDIMM street pricing, read 14-Aug-2026, median $35.70/GB. Driven by HBM capacity diversion; shortage forecast into mid-2027.</t>
  </si>
  <si>
    <t xml:space="preserve">~$900</t>
  </si>
  <si>
    <t xml:space="preserve">Gigabyte MZ33-AR1. Phoronix put it near $700; eBay and Newegg $1,000-1,250. Single-socket, cTDP to 500W, 24 DIMM slots.</t>
  </si>
  <si>
    <t xml:space="preserve">Electricity $0.20/kWh</t>
  </si>
  <si>
    <t xml:space="preserve">$0.20</t>
  </si>
  <si>
    <t xml:space="preserve">Assumption</t>
  </si>
  <si>
    <t xml:space="preserve">BGE price-to-compare 14.609c/kWh generation-only through 30-Sep-2026. Maryland residential all-in averages 16-22c depending on source.</t>
  </si>
  <si>
    <t xml:space="preserve">$722.10/mo</t>
  </si>
  <si>
    <t xml:space="preserve">Hetzner price-adjustment doc effective 15-Jun-2026, excl. IPv4 and VAT, $359 setup. LTD tier $372.10.</t>
  </si>
  <si>
    <t xml:space="preserve">Hetzner cloud increases</t>
  </si>
  <si>
    <t xml:space="preserve">+128% to +205%</t>
  </si>
  <si>
    <t xml:space="preserve">Same doc, old-vs-new columns: CCX63 EUR 374.49 -&gt; 853.49; CPX41 EUR 38.99 -&gt; 120.49; CPX51 EUR 77.99 -&gt; 237.99.</t>
  </si>
  <si>
    <t xml:space="preserve">EPYC 9454P 1P SPECrate</t>
  </si>
  <si>
    <t xml:space="preserve">523</t>
  </si>
  <si>
    <t xml:space="preserve">spec.org, Dell PowerEdge R6615, Nov-2023. The CPU in the Hetzner AX162.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</si>
</sst>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\$#,##0;&quot;($&quot;#,##0\);\-"/>
    <numFmt numFmtId="170" formatCode="#,##0.000"/>
    <numFmt numFmtId="171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8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  <c r="C6" s="4" t="s">
        <v>4</v>
      </c>
    </row>
    <row r="7" customFormat="false" ht="15" hidden="false" customHeight="false" outlineLevel="0" collapsed="false">
      <c r="B7" s="3" t="s">
        <v>5</v>
      </c>
      <c r="C7" s="4" t="s">
        <v>6</v>
      </c>
    </row>
    <row r="8" customFormat="false" ht="15" hidden="false" customHeight="false" outlineLevel="0" collapsed="false">
      <c r="B8" s="3" t="s">
        <v>7</v>
      </c>
      <c r="C8" s="4" t="s">
        <v>8</v>
      </c>
    </row>
    <row r="9" customFormat="false" ht="15" hidden="false" customHeight="false" outlineLevel="0" collapsed="false">
      <c r="B9" s="3" t="s">
        <v>9</v>
      </c>
      <c r="C9" s="4" t="s">
        <v>10</v>
      </c>
    </row>
    <row r="10" customFormat="false" ht="15" hidden="false" customHeight="false" outlineLevel="0" collapsed="false">
      <c r="B10" s="3" t="s">
        <v>11</v>
      </c>
      <c r="C10" s="4" t="s">
        <v>12</v>
      </c>
    </row>
    <row r="11" customFormat="false" ht="15" hidden="false" customHeight="false" outlineLevel="0" collapsed="false">
      <c r="B11" s="3" t="s">
        <v>13</v>
      </c>
      <c r="C11" s="4" t="s">
        <v>14</v>
      </c>
    </row>
    <row r="12" customFormat="false" ht="15" hidden="false" customHeight="false" outlineLevel="0" collapsed="false">
      <c r="B12" s="3" t="s">
        <v>15</v>
      </c>
      <c r="C12" s="4" t="s">
        <v>16</v>
      </c>
    </row>
    <row r="13" customFormat="false" ht="15" hidden="false" customHeight="false" outlineLevel="0" collapsed="false">
      <c r="B13" s="3" t="s">
        <v>17</v>
      </c>
      <c r="C13" s="4" t="s">
        <v>18</v>
      </c>
    </row>
    <row r="14" customFormat="false" ht="15" hidden="false" customHeight="false" outlineLevel="0" collapsed="false">
      <c r="B14" s="3" t="s">
        <v>19</v>
      </c>
      <c r="C14" s="4" t="s">
        <v>20</v>
      </c>
    </row>
    <row r="15" customFormat="false" ht="15" hidden="false" customHeight="false" outlineLevel="0" collapsed="false">
      <c r="B15" s="3" t="s">
        <v>21</v>
      </c>
      <c r="C15" s="4" t="s">
        <v>22</v>
      </c>
    </row>
    <row r="17" customFormat="false" ht="15" hidden="false" customHeight="false" outlineLevel="0" collapsed="false">
      <c r="B17" s="3" t="s">
        <v>23</v>
      </c>
    </row>
    <row r="18" customFormat="false" ht="15" hidden="false" customHeight="false" outlineLevel="0" collapsed="false">
      <c r="B18" s="5" t="s">
        <v>24</v>
      </c>
      <c r="C18" s="4" t="s">
        <v>25</v>
      </c>
    </row>
    <row r="19" customFormat="false" ht="15" hidden="false" customHeight="false" outlineLevel="0" collapsed="false">
      <c r="C19" s="2" t="s">
        <v>26</v>
      </c>
    </row>
    <row r="21" customFormat="false" ht="15" hidden="false" customHeight="false" outlineLevel="0" collapsed="false">
      <c r="B21" s="3" t="s">
        <v>27</v>
      </c>
    </row>
    <row r="22" customFormat="false" ht="15" hidden="false" customHeight="false" outlineLevel="0" collapsed="false">
      <c r="B22" s="3" t="s">
        <v>28</v>
      </c>
      <c r="C22" s="6" t="str">
        <f aca="false">CONCATENATE("EPYC ", INDEX(Compare!$C$3:$F$3, MATCH(MIN(Compare!$C$37:$F$37), Compare!$C$37:$F$37, 0)), "  —  ", TEXT(MIN(Compare!$C$37:$F$37),"$#,##0.00"), " per SPECrate-point-year")</f>
        <v>EPYC 9965  —  $2.04 per SPECrate-point-year</v>
      </c>
    </row>
    <row r="23" customFormat="false" ht="15" hidden="false" customHeight="false" outlineLevel="0" collapsed="false">
      <c r="B23" s="3" t="s">
        <v>29</v>
      </c>
      <c r="C23" s="6" t="str">
        <f aca="false">CONCATENATE("EPYC ", INDEX(Compare!$C$3:$F$3, MATCH(MAX(Compare!$C$38:$F$38), Compare!$C$38:$F$38, 0)), "  —  ", TEXT(MAX(Compare!$C$38:$F$38),"0.00"), " SPECrate points per wall watt")</f>
        <v>EPYC 9845  —  2.96 SPECrate points per wall watt</v>
      </c>
    </row>
    <row r="25" customFormat="false" ht="15" hidden="false" customHeight="false" outlineLevel="0" collapsed="false">
      <c r="B25" s="3" t="s">
        <v>30</v>
      </c>
    </row>
    <row r="26" customFormat="false" ht="15" hidden="false" customHeight="false" outlineLevel="0" collapsed="false">
      <c r="B26" s="7" t="s">
        <v>31</v>
      </c>
      <c r="C26" s="7"/>
    </row>
    <row r="27" customFormat="false" ht="15" hidden="false" customHeight="false" outlineLevel="0" collapsed="false">
      <c r="B27" s="7" t="s">
        <v>32</v>
      </c>
      <c r="C27" s="7"/>
    </row>
    <row r="28" customFormat="false" ht="15" hidden="false" customHeight="false" outlineLevel="0" collapsed="false">
      <c r="B28" s="7" t="s">
        <v>33</v>
      </c>
      <c r="C28" s="7"/>
    </row>
    <row r="29" customFormat="false" ht="15" hidden="false" customHeight="false" outlineLevel="0" collapsed="false">
      <c r="B29" s="7" t="s">
        <v>34</v>
      </c>
      <c r="C29" s="7"/>
    </row>
    <row r="30" customFormat="false" ht="15" hidden="false" customHeight="false" outlineLevel="0" collapsed="false">
      <c r="B30" s="7" t="s">
        <v>35</v>
      </c>
      <c r="C30" s="7"/>
    </row>
  </sheetData>
  <mergeCells count="5">
    <mergeCell ref="B26:C26"/>
    <mergeCell ref="B27:C27"/>
    <mergeCell ref="B28:C28"/>
    <mergeCell ref="B29:C29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72"/>
  </cols>
  <sheetData>
    <row r="2" customFormat="false" ht="17.35" hidden="false" customHeight="false" outlineLevel="0" collapsed="false">
      <c r="B2" s="1" t="s">
        <v>36</v>
      </c>
    </row>
    <row r="3" customFormat="false" ht="15" hidden="false" customHeight="false" outlineLevel="0" collapsed="false">
      <c r="B3" s="2" t="s">
        <v>37</v>
      </c>
    </row>
    <row r="5" customFormat="false" ht="15" hidden="false" customHeight="false" outlineLevel="0" collapsed="false">
      <c r="B5" s="8" t="s">
        <v>38</v>
      </c>
      <c r="C5" s="9"/>
      <c r="D5" s="9"/>
      <c r="E5" s="9"/>
    </row>
    <row r="6" customFormat="false" ht="15" hidden="false" customHeight="false" outlineLevel="0" collapsed="false">
      <c r="B6" s="3" t="s">
        <v>39</v>
      </c>
      <c r="C6" s="3" t="s">
        <v>40</v>
      </c>
      <c r="D6" s="3" t="s">
        <v>41</v>
      </c>
      <c r="E6" s="3" t="s">
        <v>42</v>
      </c>
    </row>
    <row r="7" customFormat="false" ht="15" hidden="false" customHeight="false" outlineLevel="0" collapsed="false">
      <c r="B7" s="4" t="s">
        <v>43</v>
      </c>
      <c r="C7" s="10" t="n">
        <v>10</v>
      </c>
      <c r="D7" s="2" t="s">
        <v>44</v>
      </c>
      <c r="E7" s="2" t="s">
        <v>45</v>
      </c>
    </row>
    <row r="8" customFormat="false" ht="15" hidden="false" customHeight="false" outlineLevel="0" collapsed="false">
      <c r="B8" s="4" t="s">
        <v>46</v>
      </c>
      <c r="C8" s="11" t="n">
        <v>1</v>
      </c>
      <c r="D8" s="2" t="s">
        <v>47</v>
      </c>
      <c r="E8" s="2" t="s">
        <v>48</v>
      </c>
    </row>
    <row r="9" customFormat="false" ht="15" hidden="false" customHeight="false" outlineLevel="0" collapsed="false">
      <c r="B9" s="4" t="s">
        <v>49</v>
      </c>
      <c r="C9" s="12" t="n">
        <v>8766</v>
      </c>
      <c r="D9" s="2" t="s">
        <v>50</v>
      </c>
      <c r="E9" s="2" t="s">
        <v>51</v>
      </c>
    </row>
    <row r="10" customFormat="false" ht="15" hidden="false" customHeight="false" outlineLevel="0" collapsed="false">
      <c r="B10" s="4" t="s">
        <v>52</v>
      </c>
      <c r="C10" s="13" t="n">
        <v>0.2</v>
      </c>
      <c r="D10" s="2" t="s">
        <v>53</v>
      </c>
      <c r="E10" s="2" t="s">
        <v>54</v>
      </c>
    </row>
    <row r="11" customFormat="false" ht="15" hidden="false" customHeight="false" outlineLevel="0" collapsed="false">
      <c r="B11" s="4" t="s">
        <v>55</v>
      </c>
      <c r="C11" s="14" t="n">
        <v>0</v>
      </c>
      <c r="D11" s="2" t="s">
        <v>56</v>
      </c>
      <c r="E11" s="2" t="s">
        <v>57</v>
      </c>
    </row>
    <row r="12" customFormat="false" ht="15" hidden="false" customHeight="false" outlineLevel="0" collapsed="false">
      <c r="B12" s="4" t="s">
        <v>58</v>
      </c>
      <c r="C12" s="14" t="n">
        <v>0</v>
      </c>
      <c r="D12" s="2" t="s">
        <v>56</v>
      </c>
      <c r="E12" s="2" t="s">
        <v>59</v>
      </c>
    </row>
    <row r="14" customFormat="false" ht="15" hidden="false" customHeight="false" outlineLevel="0" collapsed="false">
      <c r="B14" s="8" t="s">
        <v>60</v>
      </c>
      <c r="C14" s="9"/>
      <c r="D14" s="9"/>
      <c r="E14" s="9"/>
    </row>
    <row r="15" customFormat="false" ht="15" hidden="false" customHeight="false" outlineLevel="0" collapsed="false">
      <c r="B15" s="4" t="s">
        <v>61</v>
      </c>
      <c r="C15" s="15" t="n">
        <v>100</v>
      </c>
      <c r="D15" s="2" t="s">
        <v>62</v>
      </c>
      <c r="E15" s="2" t="s">
        <v>63</v>
      </c>
    </row>
    <row r="16" customFormat="false" ht="15" hidden="false" customHeight="false" outlineLevel="0" collapsed="false">
      <c r="B16" s="4" t="s">
        <v>64</v>
      </c>
      <c r="C16" s="16" t="n">
        <v>0.92</v>
      </c>
      <c r="D16" s="2" t="s">
        <v>47</v>
      </c>
      <c r="E16" s="2" t="s">
        <v>65</v>
      </c>
    </row>
    <row r="17" customFormat="false" ht="15" hidden="false" customHeight="false" outlineLevel="0" collapsed="false">
      <c r="B17" s="4" t="s">
        <v>66</v>
      </c>
      <c r="C17" s="16" t="n">
        <v>1</v>
      </c>
      <c r="D17" s="2" t="s">
        <v>67</v>
      </c>
      <c r="E17" s="2" t="s">
        <v>68</v>
      </c>
    </row>
    <row r="18" customFormat="false" ht="15" hidden="false" customHeight="false" outlineLevel="0" collapsed="false">
      <c r="B18" s="4" t="s">
        <v>69</v>
      </c>
      <c r="C18" s="15" t="n">
        <v>120</v>
      </c>
      <c r="D18" s="2" t="s">
        <v>62</v>
      </c>
      <c r="E18" s="2" t="s">
        <v>70</v>
      </c>
    </row>
    <row r="19" customFormat="false" ht="15" hidden="false" customHeight="false" outlineLevel="0" collapsed="false">
      <c r="B19" s="4" t="s">
        <v>71</v>
      </c>
      <c r="C19" s="17" t="n">
        <v>0</v>
      </c>
      <c r="D19" s="2" t="s">
        <v>72</v>
      </c>
      <c r="E19" s="2" t="s">
        <v>73</v>
      </c>
    </row>
    <row r="21" customFormat="false" ht="15" hidden="false" customHeight="false" outlineLevel="0" collapsed="false">
      <c r="B21" s="8" t="s">
        <v>74</v>
      </c>
      <c r="C21" s="9"/>
      <c r="D21" s="9"/>
      <c r="E21" s="9"/>
    </row>
    <row r="22" customFormat="false" ht="15" hidden="false" customHeight="false" outlineLevel="0" collapsed="false">
      <c r="B22" s="4" t="s">
        <v>75</v>
      </c>
      <c r="C22" s="10" t="n">
        <v>12</v>
      </c>
      <c r="D22" s="2" t="s">
        <v>76</v>
      </c>
      <c r="E22" s="2" t="s">
        <v>77</v>
      </c>
    </row>
    <row r="23" customFormat="false" ht="15" hidden="false" customHeight="false" outlineLevel="0" collapsed="false">
      <c r="B23" s="4" t="s">
        <v>78</v>
      </c>
      <c r="C23" s="10" t="n">
        <v>32</v>
      </c>
      <c r="D23" s="2" t="s">
        <v>79</v>
      </c>
      <c r="E23" s="2" t="s">
        <v>80</v>
      </c>
    </row>
    <row r="24" customFormat="false" ht="15" hidden="false" customHeight="false" outlineLevel="0" collapsed="false">
      <c r="B24" s="4" t="s">
        <v>81</v>
      </c>
      <c r="C24" s="13" t="n">
        <v>35.7</v>
      </c>
      <c r="D24" s="2" t="s">
        <v>82</v>
      </c>
      <c r="E24" s="2" t="s">
        <v>83</v>
      </c>
    </row>
    <row r="25" customFormat="false" ht="15" hidden="false" customHeight="false" outlineLevel="0" collapsed="false">
      <c r="B25" s="3" t="s">
        <v>84</v>
      </c>
      <c r="C25" s="18" t="n">
        <f aca="false">$C$22*$C$23</f>
        <v>384</v>
      </c>
      <c r="D25" s="2" t="s">
        <v>79</v>
      </c>
    </row>
    <row r="26" customFormat="false" ht="15" hidden="false" customHeight="false" outlineLevel="0" collapsed="false">
      <c r="B26" s="3" t="s">
        <v>85</v>
      </c>
      <c r="C26" s="19" t="n">
        <f aca="false">$C$22*$C$23*$C$24</f>
        <v>13708.8</v>
      </c>
      <c r="D26" s="2" t="s">
        <v>72</v>
      </c>
    </row>
    <row r="28" customFormat="false" ht="15" hidden="false" customHeight="false" outlineLevel="0" collapsed="false">
      <c r="B28" s="8" t="s">
        <v>86</v>
      </c>
      <c r="C28" s="9"/>
      <c r="D28" s="9"/>
      <c r="E28" s="9"/>
    </row>
    <row r="29" customFormat="false" ht="15" hidden="false" customHeight="false" outlineLevel="0" collapsed="false">
      <c r="B29" s="4" t="s">
        <v>87</v>
      </c>
      <c r="C29" s="20" t="n">
        <v>0.5256</v>
      </c>
      <c r="D29" s="2" t="s">
        <v>67</v>
      </c>
      <c r="E29" s="2" t="s">
        <v>88</v>
      </c>
    </row>
    <row r="30" customFormat="false" ht="15" hidden="false" customHeight="false" outlineLevel="0" collapsed="false">
      <c r="B30" s="4" t="s">
        <v>89</v>
      </c>
      <c r="C30" s="11" t="n">
        <v>0.98</v>
      </c>
      <c r="D30" s="2" t="s">
        <v>67</v>
      </c>
      <c r="E30" s="2" t="s">
        <v>90</v>
      </c>
    </row>
    <row r="32" customFormat="false" ht="15" hidden="false" customHeight="false" outlineLevel="0" collapsed="false">
      <c r="B32" s="8" t="s">
        <v>91</v>
      </c>
      <c r="C32" s="9"/>
      <c r="D32" s="9"/>
      <c r="E32" s="9"/>
    </row>
    <row r="33" customFormat="false" ht="15" hidden="false" customHeight="false" outlineLevel="0" collapsed="false">
      <c r="B33" s="3" t="s">
        <v>92</v>
      </c>
      <c r="C33" s="21" t="n">
        <f aca="false">IF($C$11=0,$C$7,((1+$C$11)^$C$7-1)/$C$11)</f>
        <v>10</v>
      </c>
      <c r="E33" s="2" t="s">
        <v>93</v>
      </c>
    </row>
    <row r="34" customFormat="false" ht="15" hidden="false" customHeight="false" outlineLevel="0" collapsed="false">
      <c r="B34" s="3" t="s">
        <v>94</v>
      </c>
      <c r="C34" s="21" t="n">
        <f aca="false">IF(ABS($C$11-$C$12)&lt;0.0000001,$C$7,(1-((1+$C$11)/(1+$C$12))^$C$7)/(1-(1+$C$11)/(1+$C$12)))</f>
        <v>10</v>
      </c>
      <c r="E34" s="2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60"/>
  </cols>
  <sheetData>
    <row r="2" customFormat="false" ht="17.35" hidden="false" customHeight="false" outlineLevel="0" collapsed="false">
      <c r="B2" s="1" t="s">
        <v>96</v>
      </c>
    </row>
    <row r="3" customFormat="false" ht="15" hidden="false" customHeight="false" outlineLevel="0" collapsed="false">
      <c r="B3" s="2" t="s">
        <v>97</v>
      </c>
    </row>
    <row r="5" customFormat="false" ht="15" hidden="false" customHeight="false" outlineLevel="0" collapsed="false">
      <c r="B5" s="8" t="s">
        <v>98</v>
      </c>
      <c r="C5" s="8" t="s">
        <v>99</v>
      </c>
      <c r="D5" s="8" t="s">
        <v>100</v>
      </c>
      <c r="E5" s="8" t="s">
        <v>101</v>
      </c>
      <c r="F5" s="8" t="s">
        <v>102</v>
      </c>
      <c r="G5" s="8" t="s">
        <v>103</v>
      </c>
      <c r="H5" s="8" t="s">
        <v>42</v>
      </c>
    </row>
    <row r="6" customFormat="false" ht="35.05" hidden="false" customHeight="false" outlineLevel="0" collapsed="false">
      <c r="B6" s="22" t="s">
        <v>104</v>
      </c>
      <c r="C6" s="23" t="s">
        <v>105</v>
      </c>
      <c r="D6" s="24" t="n">
        <v>1</v>
      </c>
      <c r="E6" s="17" t="n">
        <v>900</v>
      </c>
      <c r="F6" s="25" t="n">
        <f aca="false">D6*E6</f>
        <v>900</v>
      </c>
      <c r="G6" s="24" t="s">
        <v>106</v>
      </c>
      <c r="H6" s="26" t="s">
        <v>107</v>
      </c>
    </row>
    <row r="7" customFormat="false" ht="15" hidden="false" customHeight="false" outlineLevel="0" collapsed="false">
      <c r="B7" s="22" t="s">
        <v>108</v>
      </c>
      <c r="C7" s="27" t="str">
        <f aca="false">CONCATENATE("AMD EPYC ", INDEX(Compare!$C$3:$F$3, MATCH(MIN(Compare!$C$37:$F$37), Compare!$C$37:$F$37,0)), " — run at ", TEXT(INDEX(Compare!$C$13:$F$13, MATCH(MIN(Compare!$C$37:$F$37), Compare!$C$37:$F$37,0)),"0"), "W cTDP")</f>
        <v>AMD EPYC 9965 — run at 450W cTDP</v>
      </c>
      <c r="D7" s="24" t="n">
        <v>1</v>
      </c>
      <c r="E7" s="28" t="n">
        <f aca="false">INDEX(Compare!$C$28:$F$28, MATCH(MIN(Compare!$C$37:$F$37), Compare!$C$37:$F$37,0))</f>
        <v>7000</v>
      </c>
      <c r="F7" s="25" t="n">
        <f aca="false">D7*E7</f>
        <v>7000</v>
      </c>
      <c r="G7" s="24" t="s">
        <v>106</v>
      </c>
      <c r="H7" s="26" t="s">
        <v>109</v>
      </c>
    </row>
    <row r="8" customFormat="false" ht="23.85" hidden="false" customHeight="false" outlineLevel="0" collapsed="false">
      <c r="B8" s="22" t="s">
        <v>110</v>
      </c>
      <c r="C8" s="23" t="s">
        <v>111</v>
      </c>
      <c r="D8" s="29" t="n">
        <f aca="false">Inputs!$C$22</f>
        <v>12</v>
      </c>
      <c r="E8" s="28" t="n">
        <f aca="false">Inputs!$C$23*Inputs!$C$24</f>
        <v>1142.4</v>
      </c>
      <c r="F8" s="25" t="n">
        <f aca="false">D8*E8</f>
        <v>13708.8</v>
      </c>
      <c r="G8" s="30" t="s">
        <v>112</v>
      </c>
      <c r="H8" s="26" t="s">
        <v>113</v>
      </c>
    </row>
    <row r="9" customFormat="false" ht="23.85" hidden="false" customHeight="false" outlineLevel="0" collapsed="false">
      <c r="B9" s="22" t="s">
        <v>114</v>
      </c>
      <c r="C9" s="23" t="s">
        <v>115</v>
      </c>
      <c r="D9" s="24" t="n">
        <v>1</v>
      </c>
      <c r="E9" s="17" t="n">
        <v>350</v>
      </c>
      <c r="F9" s="25" t="n">
        <f aca="false">D9*E9</f>
        <v>350</v>
      </c>
      <c r="G9" s="24" t="s">
        <v>116</v>
      </c>
      <c r="H9" s="26" t="s">
        <v>117</v>
      </c>
    </row>
    <row r="10" customFormat="false" ht="15" hidden="false" customHeight="false" outlineLevel="0" collapsed="false">
      <c r="B10" s="22" t="s">
        <v>118</v>
      </c>
      <c r="C10" s="23" t="s">
        <v>119</v>
      </c>
      <c r="D10" s="24" t="n">
        <v>1</v>
      </c>
      <c r="E10" s="17" t="n">
        <v>300</v>
      </c>
      <c r="F10" s="25" t="n">
        <f aca="false">D10*E10</f>
        <v>300</v>
      </c>
      <c r="G10" s="24" t="s">
        <v>116</v>
      </c>
      <c r="H10" s="26" t="s">
        <v>120</v>
      </c>
    </row>
    <row r="11" customFormat="false" ht="23.85" hidden="false" customHeight="false" outlineLevel="0" collapsed="false">
      <c r="B11" s="22" t="s">
        <v>121</v>
      </c>
      <c r="C11" s="23" t="s">
        <v>122</v>
      </c>
      <c r="D11" s="24" t="n">
        <v>1</v>
      </c>
      <c r="E11" s="17" t="n">
        <v>180</v>
      </c>
      <c r="F11" s="25" t="n">
        <f aca="false">D11*E11</f>
        <v>180</v>
      </c>
      <c r="G11" s="24" t="s">
        <v>116</v>
      </c>
      <c r="H11" s="26" t="s">
        <v>123</v>
      </c>
    </row>
    <row r="12" customFormat="false" ht="15" hidden="false" customHeight="false" outlineLevel="0" collapsed="false">
      <c r="B12" s="22" t="s">
        <v>124</v>
      </c>
      <c r="C12" s="23" t="s">
        <v>125</v>
      </c>
      <c r="D12" s="24" t="n">
        <v>1</v>
      </c>
      <c r="E12" s="17" t="n">
        <v>220</v>
      </c>
      <c r="F12" s="25" t="n">
        <f aca="false">D12*E12</f>
        <v>220</v>
      </c>
      <c r="G12" s="24" t="s">
        <v>116</v>
      </c>
      <c r="H12" s="26" t="s">
        <v>126</v>
      </c>
    </row>
    <row r="13" customFormat="false" ht="15" hidden="false" customHeight="false" outlineLevel="0" collapsed="false">
      <c r="B13" s="22" t="s">
        <v>127</v>
      </c>
      <c r="C13" s="23" t="s">
        <v>128</v>
      </c>
      <c r="D13" s="24" t="n">
        <v>1</v>
      </c>
      <c r="E13" s="17" t="n">
        <v>80</v>
      </c>
      <c r="F13" s="25" t="n">
        <f aca="false">D13*E13</f>
        <v>80</v>
      </c>
      <c r="G13" s="24" t="s">
        <v>116</v>
      </c>
      <c r="H13" s="26"/>
    </row>
    <row r="14" customFormat="false" ht="23.85" hidden="false" customHeight="false" outlineLevel="0" collapsed="false">
      <c r="B14" s="22" t="s">
        <v>129</v>
      </c>
      <c r="C14" s="23" t="s">
        <v>130</v>
      </c>
      <c r="D14" s="24" t="n">
        <v>1</v>
      </c>
      <c r="E14" s="17" t="n">
        <v>70</v>
      </c>
      <c r="F14" s="25" t="n">
        <f aca="false">D14*E14</f>
        <v>70</v>
      </c>
      <c r="G14" s="24" t="s">
        <v>116</v>
      </c>
      <c r="H14" s="26"/>
    </row>
    <row r="15" customFormat="false" ht="15" hidden="false" customHeight="false" outlineLevel="0" collapsed="false">
      <c r="B15" s="3" t="s">
        <v>131</v>
      </c>
      <c r="F15" s="31" t="n">
        <f aca="false">SUM(F6:F6)+SUM(F8:F14)</f>
        <v>15808.8</v>
      </c>
      <c r="H15" s="2" t="s">
        <v>132</v>
      </c>
    </row>
    <row r="16" customFormat="false" ht="15" hidden="false" customHeight="false" outlineLevel="0" collapsed="false">
      <c r="B16" s="3" t="s">
        <v>133</v>
      </c>
      <c r="F16" s="32" t="n">
        <f aca="false">F15+F7</f>
        <v>22808.8</v>
      </c>
      <c r="H16" s="2" t="s">
        <v>134</v>
      </c>
    </row>
    <row r="18" customFormat="false" ht="15" hidden="false" customHeight="false" outlineLevel="0" collapsed="false">
      <c r="B18" s="3" t="s">
        <v>135</v>
      </c>
    </row>
    <row r="19" customFormat="false" ht="15" hidden="false" customHeight="false" outlineLevel="0" collapsed="false">
      <c r="B19" s="33" t="s">
        <v>136</v>
      </c>
      <c r="C19" s="33"/>
      <c r="D19" s="33"/>
      <c r="E19" s="33"/>
      <c r="F19" s="33"/>
      <c r="G19" s="33"/>
      <c r="H19" s="33"/>
    </row>
    <row r="20" customFormat="false" ht="15" hidden="false" customHeight="false" outlineLevel="0" collapsed="false">
      <c r="B20" s="33" t="s">
        <v>137</v>
      </c>
      <c r="C20" s="33"/>
      <c r="D20" s="33"/>
      <c r="E20" s="33"/>
      <c r="F20" s="33"/>
      <c r="G20" s="33"/>
      <c r="H20" s="33"/>
    </row>
    <row r="21" customFormat="false" ht="15" hidden="false" customHeight="false" outlineLevel="0" collapsed="false">
      <c r="B21" s="33" t="s">
        <v>138</v>
      </c>
      <c r="C21" s="33"/>
      <c r="D21" s="33"/>
      <c r="E21" s="33"/>
      <c r="F21" s="33"/>
      <c r="G21" s="33"/>
      <c r="H21" s="33"/>
    </row>
    <row r="22" customFormat="false" ht="15" hidden="false" customHeight="false" outlineLevel="0" collapsed="false">
      <c r="B22" s="33" t="s">
        <v>139</v>
      </c>
      <c r="C22" s="33"/>
      <c r="D22" s="33"/>
      <c r="E22" s="33"/>
      <c r="F22" s="33"/>
      <c r="G22" s="33"/>
      <c r="H22" s="33"/>
    </row>
  </sheetData>
  <mergeCells count="4">
    <mergeCell ref="B19:H19"/>
    <mergeCell ref="B20:H20"/>
    <mergeCell ref="B21:H21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6" min="3" style="0" width="16"/>
    <col collapsed="false" customWidth="true" hidden="false" outlineLevel="0" max="7" min="7" style="0" width="4"/>
    <col collapsed="false" customWidth="true" hidden="false" outlineLevel="0" max="8" min="8" style="0" width="66"/>
  </cols>
  <sheetData>
    <row r="2" customFormat="false" ht="17.35" hidden="false" customHeight="false" outlineLevel="0" collapsed="false">
      <c r="B2" s="1" t="s">
        <v>140</v>
      </c>
    </row>
    <row r="3" customFormat="false" ht="15" hidden="false" customHeight="false" outlineLevel="0" collapsed="false">
      <c r="B3" s="3" t="s">
        <v>141</v>
      </c>
      <c r="C3" s="34" t="s">
        <v>142</v>
      </c>
      <c r="D3" s="34" t="s">
        <v>143</v>
      </c>
      <c r="E3" s="34" t="s">
        <v>144</v>
      </c>
      <c r="F3" s="34" t="s">
        <v>145</v>
      </c>
    </row>
    <row r="4" customFormat="false" ht="15" hidden="false" customHeight="false" outlineLevel="0" collapsed="false">
      <c r="B4" s="8" t="s">
        <v>146</v>
      </c>
      <c r="C4" s="9"/>
      <c r="D4" s="9"/>
      <c r="E4" s="9"/>
      <c r="F4" s="9"/>
    </row>
    <row r="5" customFormat="false" ht="15" hidden="false" customHeight="false" outlineLevel="0" collapsed="false">
      <c r="B5" s="4" t="s">
        <v>147</v>
      </c>
      <c r="C5" s="35" t="n">
        <v>192</v>
      </c>
      <c r="D5" s="35" t="n">
        <v>160</v>
      </c>
      <c r="E5" s="35" t="n">
        <v>128</v>
      </c>
      <c r="F5" s="35" t="n">
        <v>128</v>
      </c>
    </row>
    <row r="6" customFormat="false" ht="15" hidden="false" customHeight="false" outlineLevel="0" collapsed="false">
      <c r="B6" s="4" t="s">
        <v>148</v>
      </c>
      <c r="C6" s="36" t="s">
        <v>149</v>
      </c>
      <c r="D6" s="36" t="s">
        <v>149</v>
      </c>
      <c r="E6" s="36" t="s">
        <v>150</v>
      </c>
      <c r="F6" s="36" t="s">
        <v>149</v>
      </c>
    </row>
    <row r="7" customFormat="false" ht="15" hidden="false" customHeight="false" outlineLevel="0" collapsed="false">
      <c r="B7" s="4" t="s">
        <v>151</v>
      </c>
      <c r="C7" s="35" t="n">
        <v>384</v>
      </c>
      <c r="D7" s="35" t="n">
        <v>320</v>
      </c>
      <c r="E7" s="35" t="n">
        <v>512</v>
      </c>
      <c r="F7" s="35" t="n">
        <v>256</v>
      </c>
      <c r="H7" s="2" t="s">
        <v>152</v>
      </c>
    </row>
    <row r="8" customFormat="false" ht="15" hidden="false" customHeight="false" outlineLevel="0" collapsed="false">
      <c r="B8" s="4" t="s">
        <v>153</v>
      </c>
      <c r="C8" s="35" t="n">
        <v>500</v>
      </c>
      <c r="D8" s="35" t="n">
        <v>390</v>
      </c>
      <c r="E8" s="35" t="n">
        <v>500</v>
      </c>
      <c r="F8" s="35" t="n">
        <v>400</v>
      </c>
    </row>
    <row r="9" customFormat="false" ht="15" hidden="false" customHeight="false" outlineLevel="0" collapsed="false">
      <c r="B9" s="4" t="s">
        <v>154</v>
      </c>
      <c r="C9" s="35" t="n">
        <v>450</v>
      </c>
      <c r="D9" s="35" t="n">
        <v>320</v>
      </c>
      <c r="E9" s="35" t="n">
        <v>500</v>
      </c>
      <c r="F9" s="35" t="n">
        <v>320</v>
      </c>
      <c r="H9" s="2" t="s">
        <v>155</v>
      </c>
    </row>
    <row r="10" customFormat="false" ht="15" hidden="false" customHeight="false" outlineLevel="0" collapsed="false">
      <c r="B10" s="4" t="s">
        <v>156</v>
      </c>
      <c r="C10" s="35" t="n">
        <v>614</v>
      </c>
      <c r="D10" s="35" t="n">
        <v>614</v>
      </c>
      <c r="E10" s="35" t="n">
        <v>614</v>
      </c>
      <c r="F10" s="35" t="n">
        <v>614</v>
      </c>
      <c r="H10" s="2" t="s">
        <v>157</v>
      </c>
    </row>
    <row r="11" customFormat="false" ht="15" hidden="false" customHeight="false" outlineLevel="0" collapsed="false">
      <c r="B11" s="4" t="s">
        <v>158</v>
      </c>
      <c r="C11" s="37" t="n">
        <f aca="false">C10/C5</f>
        <v>3.19791666666667</v>
      </c>
      <c r="D11" s="37" t="n">
        <f aca="false">D10/D5</f>
        <v>3.8375</v>
      </c>
      <c r="E11" s="37" t="n">
        <f aca="false">E10/E5</f>
        <v>4.796875</v>
      </c>
      <c r="F11" s="37" t="n">
        <f aca="false">F10/F5</f>
        <v>4.796875</v>
      </c>
      <c r="H11" s="2" t="s">
        <v>159</v>
      </c>
    </row>
    <row r="12" customFormat="false" ht="15" hidden="false" customHeight="false" outlineLevel="0" collapsed="false">
      <c r="B12" s="8" t="s">
        <v>160</v>
      </c>
      <c r="C12" s="9"/>
      <c r="D12" s="9"/>
      <c r="E12" s="9"/>
      <c r="F12" s="9"/>
    </row>
    <row r="13" customFormat="false" ht="15" hidden="false" customHeight="false" outlineLevel="0" collapsed="false">
      <c r="B13" s="4" t="s">
        <v>161</v>
      </c>
      <c r="C13" s="38" t="n">
        <v>450</v>
      </c>
      <c r="D13" s="38" t="n">
        <v>320</v>
      </c>
      <c r="E13" s="38" t="n">
        <v>500</v>
      </c>
      <c r="F13" s="38" t="n">
        <v>320</v>
      </c>
      <c r="H13" s="2" t="s">
        <v>162</v>
      </c>
    </row>
    <row r="14" customFormat="false" ht="15" hidden="false" customHeight="false" outlineLevel="0" collapsed="false">
      <c r="B14" s="4" t="s">
        <v>163</v>
      </c>
      <c r="C14" s="39" t="n">
        <v>0.99</v>
      </c>
      <c r="D14" s="40" t="n">
        <v>0.98</v>
      </c>
      <c r="E14" s="40" t="n">
        <v>1</v>
      </c>
      <c r="F14" s="40" t="n">
        <v>0.98</v>
      </c>
      <c r="H14" s="2" t="s">
        <v>164</v>
      </c>
    </row>
    <row r="15" customFormat="false" ht="15" hidden="false" customHeight="false" outlineLevel="0" collapsed="false">
      <c r="B15" s="4" t="s">
        <v>165</v>
      </c>
      <c r="C15" s="37" t="n">
        <f aca="false">(Inputs!$C$22*Inputs!$C$23)/C5</f>
        <v>2</v>
      </c>
      <c r="D15" s="37" t="n">
        <f aca="false">(Inputs!$C$22*Inputs!$C$23)/D5</f>
        <v>2.4</v>
      </c>
      <c r="E15" s="37" t="n">
        <f aca="false">(Inputs!$C$22*Inputs!$C$23)/E5</f>
        <v>3</v>
      </c>
      <c r="F15" s="37" t="n">
        <f aca="false">(Inputs!$C$22*Inputs!$C$23)/F5</f>
        <v>3</v>
      </c>
      <c r="H15" s="2" t="s">
        <v>166</v>
      </c>
    </row>
    <row r="17" customFormat="false" ht="15" hidden="false" customHeight="false" outlineLevel="0" collapsed="false">
      <c r="B17" s="8" t="s">
        <v>167</v>
      </c>
      <c r="C17" s="9"/>
      <c r="D17" s="9"/>
      <c r="E17" s="9"/>
      <c r="F17" s="9"/>
    </row>
    <row r="18" customFormat="false" ht="15" hidden="false" customHeight="false" outlineLevel="0" collapsed="false">
      <c r="B18" s="4" t="s">
        <v>168</v>
      </c>
      <c r="C18" s="35" t="n">
        <v>3140</v>
      </c>
      <c r="D18" s="35" t="n">
        <v>2620</v>
      </c>
      <c r="E18" s="35" t="n">
        <v>2589</v>
      </c>
      <c r="F18" s="35" t="n">
        <v>2330</v>
      </c>
      <c r="H18" s="2" t="s">
        <v>169</v>
      </c>
    </row>
    <row r="19" customFormat="false" ht="15" hidden="false" customHeight="false" outlineLevel="0" collapsed="false">
      <c r="B19" s="4" t="s">
        <v>87</v>
      </c>
      <c r="C19" s="41" t="n">
        <f aca="false">Inputs!$C$29</f>
        <v>0.5256</v>
      </c>
      <c r="D19" s="41" t="n">
        <f aca="false">Inputs!$C$29</f>
        <v>0.5256</v>
      </c>
      <c r="E19" s="41" t="n">
        <f aca="false">Inputs!$C$29</f>
        <v>0.5256</v>
      </c>
      <c r="F19" s="41" t="n">
        <f aca="false">Inputs!$C$29</f>
        <v>0.5256</v>
      </c>
    </row>
    <row r="20" customFormat="false" ht="15" hidden="false" customHeight="false" outlineLevel="0" collapsed="false">
      <c r="B20" s="3" t="s">
        <v>170</v>
      </c>
      <c r="C20" s="42" t="n">
        <f aca="false">C18*C19*C14</f>
        <v>1633.88016</v>
      </c>
      <c r="D20" s="42" t="n">
        <f aca="false">D18*D19*D14</f>
        <v>1349.53056</v>
      </c>
      <c r="E20" s="42" t="n">
        <f aca="false">E18*E19*E14</f>
        <v>1360.7784</v>
      </c>
      <c r="F20" s="42" t="n">
        <f aca="false">F18*F19*F14</f>
        <v>1200.15504</v>
      </c>
      <c r="H20" s="2" t="s">
        <v>171</v>
      </c>
    </row>
    <row r="22" customFormat="false" ht="15" hidden="false" customHeight="false" outlineLevel="0" collapsed="false">
      <c r="B22" s="8" t="s">
        <v>172</v>
      </c>
      <c r="C22" s="9"/>
      <c r="D22" s="9"/>
      <c r="E22" s="9"/>
      <c r="F22" s="9"/>
    </row>
    <row r="23" customFormat="false" ht="15" hidden="false" customHeight="false" outlineLevel="0" collapsed="false">
      <c r="B23" s="4" t="s">
        <v>173</v>
      </c>
      <c r="C23" s="43" t="n">
        <f aca="false">(C13+Inputs!$C$15)/Inputs!$C$16</f>
        <v>597.826086956522</v>
      </c>
      <c r="D23" s="43" t="n">
        <f aca="false">(D13+Inputs!$C$15)/Inputs!$C$16</f>
        <v>456.521739130435</v>
      </c>
      <c r="E23" s="43" t="n">
        <f aca="false">(E13+Inputs!$C$15)/Inputs!$C$16</f>
        <v>652.173913043478</v>
      </c>
      <c r="F23" s="43" t="n">
        <f aca="false">(F13+Inputs!$C$15)/Inputs!$C$16</f>
        <v>456.521739130435</v>
      </c>
      <c r="H23" s="2" t="s">
        <v>174</v>
      </c>
    </row>
    <row r="24" customFormat="false" ht="15" hidden="false" customHeight="false" outlineLevel="0" collapsed="false">
      <c r="B24" s="4" t="s">
        <v>175</v>
      </c>
      <c r="C24" s="43" t="n">
        <f aca="false">Inputs!$C$8*C23+(1-Inputs!$C$8)*Inputs!$C$18</f>
        <v>597.826086956522</v>
      </c>
      <c r="D24" s="43" t="n">
        <f aca="false">Inputs!$C$8*D23+(1-Inputs!$C$8)*Inputs!$C$18</f>
        <v>456.521739130435</v>
      </c>
      <c r="E24" s="43" t="n">
        <f aca="false">Inputs!$C$8*E23+(1-Inputs!$C$8)*Inputs!$C$18</f>
        <v>652.173913043478</v>
      </c>
      <c r="F24" s="43" t="n">
        <f aca="false">Inputs!$C$8*F23+(1-Inputs!$C$8)*Inputs!$C$18</f>
        <v>456.521739130435</v>
      </c>
      <c r="H24" s="2" t="s">
        <v>176</v>
      </c>
    </row>
    <row r="25" customFormat="false" ht="15" hidden="false" customHeight="false" outlineLevel="0" collapsed="false">
      <c r="B25" s="4" t="s">
        <v>177</v>
      </c>
      <c r="C25" s="43" t="n">
        <f aca="false">C24*Inputs!$C$17*Inputs!$C$9/1000</f>
        <v>5240.54347826087</v>
      </c>
      <c r="D25" s="43" t="n">
        <f aca="false">D24*Inputs!$C$17*Inputs!$C$9/1000</f>
        <v>4001.86956521739</v>
      </c>
      <c r="E25" s="43" t="n">
        <f aca="false">E24*Inputs!$C$17*Inputs!$C$9/1000</f>
        <v>5716.95652173913</v>
      </c>
      <c r="F25" s="43" t="n">
        <f aca="false">F24*Inputs!$C$17*Inputs!$C$9/1000</f>
        <v>4001.86956521739</v>
      </c>
      <c r="H25" s="2" t="s">
        <v>178</v>
      </c>
    </row>
    <row r="27" customFormat="false" ht="15" hidden="false" customHeight="false" outlineLevel="0" collapsed="false">
      <c r="B27" s="8" t="s">
        <v>179</v>
      </c>
      <c r="C27" s="9"/>
      <c r="D27" s="9"/>
      <c r="E27" s="9"/>
      <c r="F27" s="9"/>
    </row>
    <row r="28" customFormat="false" ht="15" hidden="false" customHeight="false" outlineLevel="0" collapsed="false">
      <c r="B28" s="4" t="s">
        <v>180</v>
      </c>
      <c r="C28" s="44" t="n">
        <v>7000</v>
      </c>
      <c r="D28" s="44" t="n">
        <v>9684</v>
      </c>
      <c r="E28" s="44" t="n">
        <v>6500</v>
      </c>
      <c r="F28" s="44" t="n">
        <v>7200</v>
      </c>
      <c r="H28" s="2" t="s">
        <v>181</v>
      </c>
    </row>
    <row r="29" customFormat="false" ht="15" hidden="false" customHeight="false" outlineLevel="0" collapsed="false">
      <c r="B29" s="4" t="s">
        <v>182</v>
      </c>
      <c r="C29" s="45" t="n">
        <f aca="false">'Parts List'!$F$15</f>
        <v>15808.8</v>
      </c>
      <c r="D29" s="45" t="n">
        <f aca="false">'Parts List'!$F$15</f>
        <v>15808.8</v>
      </c>
      <c r="E29" s="45" t="n">
        <f aca="false">'Parts List'!$F$15</f>
        <v>15808.8</v>
      </c>
      <c r="F29" s="45" t="n">
        <f aca="false">'Parts List'!$F$15</f>
        <v>15808.8</v>
      </c>
      <c r="H29" s="2" t="s">
        <v>183</v>
      </c>
    </row>
    <row r="30" customFormat="false" ht="15" hidden="false" customHeight="false" outlineLevel="0" collapsed="false">
      <c r="B30" s="3" t="s">
        <v>184</v>
      </c>
      <c r="C30" s="46" t="n">
        <f aca="false">C28+C29</f>
        <v>22808.8</v>
      </c>
      <c r="D30" s="46" t="n">
        <f aca="false">D28+D29</f>
        <v>25492.8</v>
      </c>
      <c r="E30" s="46" t="n">
        <f aca="false">E28+E29</f>
        <v>22308.8</v>
      </c>
      <c r="F30" s="46" t="n">
        <f aca="false">F28+F29</f>
        <v>23008.8</v>
      </c>
    </row>
    <row r="31" customFormat="false" ht="15" hidden="false" customHeight="false" outlineLevel="0" collapsed="false">
      <c r="B31" s="4" t="s">
        <v>185</v>
      </c>
      <c r="C31" s="47" t="n">
        <f aca="false">C25*Inputs!$C$10*Inputs!$C$33</f>
        <v>10481.0869565217</v>
      </c>
      <c r="D31" s="47" t="n">
        <f aca="false">D25*Inputs!$C$10*Inputs!$C$33</f>
        <v>8003.73913043478</v>
      </c>
      <c r="E31" s="47" t="n">
        <f aca="false">E25*Inputs!$C$10*Inputs!$C$33</f>
        <v>11433.9130434783</v>
      </c>
      <c r="F31" s="47" t="n">
        <f aca="false">F25*Inputs!$C$10*Inputs!$C$33</f>
        <v>8003.73913043478</v>
      </c>
      <c r="H31" s="2" t="s">
        <v>186</v>
      </c>
    </row>
    <row r="32" customFormat="false" ht="15" hidden="false" customHeight="false" outlineLevel="0" collapsed="false">
      <c r="B32" s="4" t="s">
        <v>187</v>
      </c>
      <c r="C32" s="45" t="n">
        <f aca="false">Inputs!$C$19</f>
        <v>0</v>
      </c>
      <c r="D32" s="45" t="n">
        <f aca="false">Inputs!$C$19</f>
        <v>0</v>
      </c>
      <c r="E32" s="45" t="n">
        <f aca="false">Inputs!$C$19</f>
        <v>0</v>
      </c>
      <c r="F32" s="45" t="n">
        <f aca="false">Inputs!$C$19</f>
        <v>0</v>
      </c>
    </row>
    <row r="33" customFormat="false" ht="15" hidden="false" customHeight="false" outlineLevel="0" collapsed="false">
      <c r="B33" s="3" t="s">
        <v>188</v>
      </c>
      <c r="C33" s="48" t="n">
        <f aca="false">C30+C31-C32</f>
        <v>33289.8869565218</v>
      </c>
      <c r="D33" s="48" t="n">
        <f aca="false">D30+D31-D32</f>
        <v>33496.5391304348</v>
      </c>
      <c r="E33" s="48" t="n">
        <f aca="false">E30+E31-E32</f>
        <v>33742.7130434783</v>
      </c>
      <c r="F33" s="48" t="n">
        <f aca="false">F30+F31-F32</f>
        <v>31012.5391304348</v>
      </c>
    </row>
    <row r="35" customFormat="false" ht="15" hidden="false" customHeight="false" outlineLevel="0" collapsed="false">
      <c r="B35" s="8" t="s">
        <v>189</v>
      </c>
      <c r="C35" s="9"/>
      <c r="D35" s="9"/>
      <c r="E35" s="9"/>
      <c r="F35" s="9"/>
    </row>
    <row r="36" customFormat="false" ht="15" hidden="false" customHeight="false" outlineLevel="0" collapsed="false">
      <c r="B36" s="4" t="s">
        <v>190</v>
      </c>
      <c r="C36" s="43" t="n">
        <f aca="false">C20*Inputs!$C$8*Inputs!$C$7</f>
        <v>16338.8016</v>
      </c>
      <c r="D36" s="43" t="n">
        <f aca="false">D20*Inputs!$C$8*Inputs!$C$7</f>
        <v>13495.3056</v>
      </c>
      <c r="E36" s="43" t="n">
        <f aca="false">E20*Inputs!$C$8*Inputs!$C$7</f>
        <v>13607.784</v>
      </c>
      <c r="F36" s="43" t="n">
        <f aca="false">F20*Inputs!$C$8*Inputs!$C$7</f>
        <v>12001.5504</v>
      </c>
      <c r="H36" s="2" t="s">
        <v>191</v>
      </c>
    </row>
    <row r="37" customFormat="false" ht="15" hidden="false" customHeight="false" outlineLevel="0" collapsed="false">
      <c r="B37" s="5" t="s">
        <v>192</v>
      </c>
      <c r="C37" s="49" t="n">
        <f aca="false">IF(C36=0,"",C33/C36)</f>
        <v>2.03747421454226</v>
      </c>
      <c r="D37" s="49" t="n">
        <f aca="false">IF(D36=0,"",D33/D36)</f>
        <v>2.48208822558526</v>
      </c>
      <c r="E37" s="49" t="n">
        <f aca="false">IF(E36=0,"",E33/E36)</f>
        <v>2.47966259925042</v>
      </c>
      <c r="F37" s="49" t="n">
        <f aca="false">IF(F36=0,"",F33/F36)</f>
        <v>2.58404440233278</v>
      </c>
      <c r="H37" s="2" t="s">
        <v>193</v>
      </c>
    </row>
    <row r="38" customFormat="false" ht="15" hidden="false" customHeight="false" outlineLevel="0" collapsed="false">
      <c r="B38" s="4" t="s">
        <v>194</v>
      </c>
      <c r="C38" s="37" t="n">
        <f aca="false">IF(C23=0,"",C20/C23)</f>
        <v>2.733035904</v>
      </c>
      <c r="D38" s="37" t="n">
        <f aca="false">IF(D23=0,"",D20/D23)</f>
        <v>2.95611456</v>
      </c>
      <c r="E38" s="37" t="n">
        <f aca="false">IF(E23=0,"",E20/E23)</f>
        <v>2.08652688</v>
      </c>
      <c r="F38" s="37" t="n">
        <f aca="false">IF(F23=0,"",F20/F23)</f>
        <v>2.62891104</v>
      </c>
      <c r="H38" s="2" t="s">
        <v>195</v>
      </c>
    </row>
    <row r="39" customFormat="false" ht="15" hidden="false" customHeight="false" outlineLevel="0" collapsed="false">
      <c r="B39" s="4" t="s">
        <v>196</v>
      </c>
      <c r="C39" s="50" t="n">
        <f aca="false">IF(C33=0,"",C31/C33)</f>
        <v>0.314842972287967</v>
      </c>
      <c r="D39" s="50" t="n">
        <f aca="false">IF(D33=0,"",D31/D33)</f>
        <v>0.238942270999055</v>
      </c>
      <c r="E39" s="50" t="n">
        <f aca="false">IF(E33=0,"",E31/E33)</f>
        <v>0.338855770985143</v>
      </c>
      <c r="F39" s="50" t="n">
        <f aca="false">IF(F33=0,"",F31/F33)</f>
        <v>0.258080742656126</v>
      </c>
      <c r="H39" s="2" t="s">
        <v>197</v>
      </c>
    </row>
    <row r="40" customFormat="false" ht="15" hidden="false" customHeight="false" outlineLevel="0" collapsed="false">
      <c r="B40" s="3" t="s">
        <v>198</v>
      </c>
      <c r="C40" s="51" t="n">
        <f aca="false">RANK(C37,$C$37:$F$37,1)</f>
        <v>1</v>
      </c>
      <c r="D40" s="51" t="n">
        <f aca="false">RANK(D37,$C$37:$F$37,1)</f>
        <v>3</v>
      </c>
      <c r="E40" s="51" t="n">
        <f aca="false">RANK(E37,$C$37:$F$37,1)</f>
        <v>2</v>
      </c>
      <c r="F40" s="51" t="n">
        <f aca="false">RANK(F37,$C$37:$F$37,1)</f>
        <v>4</v>
      </c>
    </row>
    <row r="41" customFormat="false" ht="15" hidden="false" customHeight="false" outlineLevel="0" collapsed="false">
      <c r="B41" s="4" t="s">
        <v>199</v>
      </c>
      <c r="C41" s="50" t="n">
        <f aca="false">IF(MIN($C$37:$F$37)=0,"",C37/MIN($C$37:$F$37)-1)</f>
        <v>0</v>
      </c>
      <c r="D41" s="50" t="n">
        <f aca="false">IF(MIN($C$37:$F$37)=0,"",D37/MIN($C$37:$F$37)-1)</f>
        <v>0.218218227190124</v>
      </c>
      <c r="E41" s="50" t="n">
        <f aca="false">IF(MIN($C$37:$F$37)=0,"",E37/MIN($C$37:$F$37)-1)</f>
        <v>0.217027720671059</v>
      </c>
      <c r="F41" s="50" t="n">
        <f aca="false">IF(MIN($C$37:$F$37)=0,"",F37/MIN($C$37:$F$37)-1)</f>
        <v>0.268258701822797</v>
      </c>
      <c r="H41" s="2" t="s">
        <v>200</v>
      </c>
    </row>
    <row r="43" customFormat="false" ht="15" hidden="false" customHeight="false" outlineLevel="0" collapsed="false">
      <c r="B43" s="3" t="s">
        <v>201</v>
      </c>
      <c r="C43" s="52" t="str">
        <f aca="false">CONCATENATE("EPYC ", INDEX($C$3:$F$3, MATCH(MIN($C$37:$F$37),$C$37:$F$37,0)), " at ", TEXT(INDEX($C$13:$F$13, MATCH(MIN($C$37:$F$37),$C$37:$F$37,0)),"0"), "W cTDP — ", TEXT(MIN($C$37:$F$37),"$#,##0.00"), "/pt-yr, ", TEXT(INDEX($C$30:$F$30, MATCH(MIN($C$37:$F$37),$C$37:$F$37,0)),"$#,##0"), " capex")</f>
        <v>EPYC 9965 at 450W cTDP — $2.04/pt-yr, $22,809 capex</v>
      </c>
      <c r="D43" s="52"/>
      <c r="E43" s="52"/>
      <c r="F43" s="52"/>
      <c r="G43" s="52"/>
      <c r="H43" s="52"/>
    </row>
  </sheetData>
  <mergeCells count="1">
    <mergeCell ref="C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78"/>
  </cols>
  <sheetData>
    <row r="2" customFormat="false" ht="17.35" hidden="false" customHeight="false" outlineLevel="0" collapsed="false">
      <c r="B2" s="1" t="s">
        <v>202</v>
      </c>
    </row>
    <row r="3" customFormat="false" ht="15" hidden="false" customHeight="false" outlineLevel="0" collapsed="false">
      <c r="B3" s="2" t="s">
        <v>203</v>
      </c>
    </row>
    <row r="5" customFormat="false" ht="15" hidden="false" customHeight="false" outlineLevel="0" collapsed="false">
      <c r="B5" s="8" t="s">
        <v>39</v>
      </c>
      <c r="C5" s="8" t="s">
        <v>204</v>
      </c>
      <c r="D5" s="8" t="s">
        <v>205</v>
      </c>
    </row>
    <row r="6" customFormat="false" ht="15" hidden="false" customHeight="false" outlineLevel="0" collapsed="false">
      <c r="B6" s="53" t="s">
        <v>206</v>
      </c>
      <c r="C6" s="54"/>
      <c r="D6" s="54"/>
    </row>
    <row r="7" customFormat="false" ht="15" hidden="false" customHeight="false" outlineLevel="0" collapsed="false">
      <c r="B7" s="3" t="s">
        <v>207</v>
      </c>
      <c r="C7" s="4" t="s">
        <v>208</v>
      </c>
      <c r="D7" s="2" t="s">
        <v>209</v>
      </c>
    </row>
    <row r="8" customFormat="false" ht="15" hidden="false" customHeight="false" outlineLevel="0" collapsed="false">
      <c r="B8" s="3" t="s">
        <v>210</v>
      </c>
      <c r="C8" s="4" t="s">
        <v>211</v>
      </c>
      <c r="D8" s="2" t="s">
        <v>212</v>
      </c>
    </row>
    <row r="9" customFormat="false" ht="15" hidden="false" customHeight="false" outlineLevel="0" collapsed="false">
      <c r="B9" s="3" t="s">
        <v>213</v>
      </c>
      <c r="C9" s="4" t="s">
        <v>214</v>
      </c>
      <c r="D9" s="2" t="s">
        <v>215</v>
      </c>
    </row>
    <row r="10" customFormat="false" ht="15" hidden="false" customHeight="false" outlineLevel="0" collapsed="false">
      <c r="B10" s="3" t="s">
        <v>216</v>
      </c>
      <c r="C10" s="4" t="s">
        <v>217</v>
      </c>
      <c r="D10" s="2" t="s">
        <v>218</v>
      </c>
    </row>
    <row r="11" customFormat="false" ht="15" hidden="false" customHeight="false" outlineLevel="0" collapsed="false">
      <c r="B11" s="3" t="s">
        <v>219</v>
      </c>
      <c r="C11" s="4" t="s">
        <v>220</v>
      </c>
      <c r="D11" s="2"/>
    </row>
    <row r="12" customFormat="false" ht="15" hidden="false" customHeight="false" outlineLevel="0" collapsed="false">
      <c r="B12" s="3" t="s">
        <v>221</v>
      </c>
      <c r="C12" s="4" t="s">
        <v>222</v>
      </c>
      <c r="D12" s="2" t="s">
        <v>223</v>
      </c>
    </row>
    <row r="13" customFormat="false" ht="15" hidden="false" customHeight="false" outlineLevel="0" collapsed="false">
      <c r="B13" s="3" t="s">
        <v>224</v>
      </c>
      <c r="C13" s="4" t="s">
        <v>225</v>
      </c>
      <c r="D13" s="2" t="s">
        <v>226</v>
      </c>
    </row>
    <row r="14" customFormat="false" ht="15" hidden="false" customHeight="false" outlineLevel="0" collapsed="false">
      <c r="B14" s="3" t="s">
        <v>227</v>
      </c>
      <c r="C14" s="4" t="s">
        <v>228</v>
      </c>
      <c r="D14" s="2"/>
    </row>
    <row r="15" customFormat="false" ht="15" hidden="false" customHeight="false" outlineLevel="0" collapsed="false">
      <c r="B15" s="3" t="s">
        <v>229</v>
      </c>
      <c r="C15" s="4" t="s">
        <v>230</v>
      </c>
      <c r="D15" s="2" t="s">
        <v>231</v>
      </c>
    </row>
    <row r="16" customFormat="false" ht="15" hidden="false" customHeight="false" outlineLevel="0" collapsed="false">
      <c r="B16" s="3" t="s">
        <v>232</v>
      </c>
      <c r="C16" s="4" t="s">
        <v>233</v>
      </c>
      <c r="D16" s="2" t="s">
        <v>234</v>
      </c>
    </row>
    <row r="17" customFormat="false" ht="15" hidden="false" customHeight="false" outlineLevel="0" collapsed="false">
      <c r="B17" s="3" t="s">
        <v>235</v>
      </c>
      <c r="C17" s="4" t="s">
        <v>236</v>
      </c>
      <c r="D17" s="2"/>
    </row>
    <row r="18" customFormat="false" ht="15" hidden="false" customHeight="false" outlineLevel="0" collapsed="false">
      <c r="B18" s="3" t="s">
        <v>237</v>
      </c>
      <c r="C18" s="4" t="s">
        <v>238</v>
      </c>
      <c r="D18" s="2"/>
    </row>
    <row r="19" customFormat="false" ht="15" hidden="false" customHeight="false" outlineLevel="0" collapsed="false">
      <c r="B19" s="3" t="s">
        <v>239</v>
      </c>
      <c r="C19" s="4" t="s">
        <v>240</v>
      </c>
      <c r="D19" s="2"/>
    </row>
    <row r="20" customFormat="false" ht="15" hidden="false" customHeight="false" outlineLevel="0" collapsed="false">
      <c r="B20" s="3" t="s">
        <v>241</v>
      </c>
      <c r="C20" s="4" t="s">
        <v>242</v>
      </c>
      <c r="D20" s="2"/>
    </row>
    <row r="21" customFormat="false" ht="15" hidden="false" customHeight="false" outlineLevel="0" collapsed="false">
      <c r="B21" s="3"/>
      <c r="C21" s="4"/>
      <c r="D21" s="2"/>
    </row>
    <row r="22" customFormat="false" ht="15" hidden="false" customHeight="false" outlineLevel="0" collapsed="false">
      <c r="B22" s="53" t="s">
        <v>243</v>
      </c>
      <c r="C22" s="54"/>
      <c r="D22" s="54"/>
    </row>
    <row r="23" customFormat="false" ht="15" hidden="false" customHeight="false" outlineLevel="0" collapsed="false">
      <c r="B23" s="3" t="s">
        <v>244</v>
      </c>
      <c r="C23" s="4" t="s">
        <v>245</v>
      </c>
      <c r="D23" s="2" t="s">
        <v>246</v>
      </c>
    </row>
    <row r="24" customFormat="false" ht="15" hidden="false" customHeight="false" outlineLevel="0" collapsed="false">
      <c r="B24" s="3" t="s">
        <v>247</v>
      </c>
      <c r="C24" s="4" t="s">
        <v>248</v>
      </c>
      <c r="D24" s="2" t="s">
        <v>249</v>
      </c>
    </row>
    <row r="25" customFormat="false" ht="15" hidden="false" customHeight="false" outlineLevel="0" collapsed="false">
      <c r="B25" s="3" t="s">
        <v>250</v>
      </c>
      <c r="C25" s="4" t="s">
        <v>251</v>
      </c>
      <c r="D25" s="2" t="s">
        <v>252</v>
      </c>
    </row>
    <row r="26" customFormat="false" ht="15" hidden="false" customHeight="false" outlineLevel="0" collapsed="false">
      <c r="B26" s="3" t="s">
        <v>253</v>
      </c>
      <c r="C26" s="4" t="s">
        <v>254</v>
      </c>
      <c r="D26" s="2" t="s">
        <v>255</v>
      </c>
    </row>
    <row r="27" customFormat="false" ht="15" hidden="false" customHeight="false" outlineLevel="0" collapsed="false">
      <c r="B27" s="3" t="s">
        <v>256</v>
      </c>
      <c r="C27" s="4" t="s">
        <v>257</v>
      </c>
      <c r="D27" s="2" t="s">
        <v>258</v>
      </c>
    </row>
    <row r="28" customFormat="false" ht="15" hidden="false" customHeight="false" outlineLevel="0" collapsed="false">
      <c r="B28" s="3" t="s">
        <v>259</v>
      </c>
      <c r="C28" s="4" t="s">
        <v>260</v>
      </c>
      <c r="D28" s="2" t="s">
        <v>261</v>
      </c>
    </row>
    <row r="29" customFormat="false" ht="15" hidden="false" customHeight="false" outlineLevel="0" collapsed="false">
      <c r="B29" s="3" t="s">
        <v>262</v>
      </c>
      <c r="C29" s="4" t="s">
        <v>263</v>
      </c>
      <c r="D29" s="2" t="s">
        <v>264</v>
      </c>
    </row>
    <row r="30" customFormat="false" ht="15" hidden="false" customHeight="false" outlineLevel="0" collapsed="false">
      <c r="B30" s="3" t="s">
        <v>265</v>
      </c>
      <c r="C30" s="4" t="s">
        <v>266</v>
      </c>
      <c r="D30" s="2" t="s">
        <v>267</v>
      </c>
    </row>
    <row r="31" customFormat="false" ht="15" hidden="false" customHeight="false" outlineLevel="0" collapsed="false">
      <c r="B31" s="3"/>
      <c r="C31" s="4"/>
      <c r="D31" s="2"/>
    </row>
    <row r="32" customFormat="false" ht="15" hidden="false" customHeight="false" outlineLevel="0" collapsed="false">
      <c r="B32" s="5" t="s">
        <v>268</v>
      </c>
      <c r="C32" s="5" t="s">
        <v>269</v>
      </c>
      <c r="D32" s="3" t="s">
        <v>270</v>
      </c>
    </row>
    <row r="33" customFormat="false" ht="15" hidden="false" customHeight="false" outlineLevel="0" collapsed="false">
      <c r="B33" s="3"/>
      <c r="C33" s="4"/>
      <c r="D33" s="2"/>
    </row>
    <row r="34" customFormat="false" ht="15" hidden="false" customHeight="false" outlineLevel="0" collapsed="false">
      <c r="B34" s="3" t="s">
        <v>271</v>
      </c>
      <c r="C34" s="4" t="s">
        <v>272</v>
      </c>
      <c r="D34" s="2" t="s">
        <v>273</v>
      </c>
    </row>
    <row r="35" customFormat="false" ht="15" hidden="false" customHeight="false" outlineLevel="0" collapsed="false">
      <c r="B35" s="3" t="s">
        <v>274</v>
      </c>
      <c r="C35" s="4" t="s">
        <v>275</v>
      </c>
      <c r="D35" s="2" t="s">
        <v>276</v>
      </c>
    </row>
    <row r="36" customFormat="false" ht="15" hidden="false" customHeight="false" outlineLevel="0" collapsed="false">
      <c r="B36" s="3" t="s">
        <v>277</v>
      </c>
      <c r="C36" s="4" t="s">
        <v>278</v>
      </c>
      <c r="D36" s="2" t="s">
        <v>279</v>
      </c>
    </row>
    <row r="37" customFormat="false" ht="15" hidden="false" customHeight="false" outlineLevel="0" collapsed="false">
      <c r="B37" s="3"/>
      <c r="C37" s="4"/>
      <c r="D37" s="2"/>
    </row>
    <row r="38" customFormat="false" ht="15" hidden="false" customHeight="false" outlineLevel="0" collapsed="false">
      <c r="B38" s="53" t="s">
        <v>280</v>
      </c>
      <c r="C38" s="54"/>
      <c r="D38" s="54"/>
    </row>
    <row r="39" customFormat="false" ht="15" hidden="false" customHeight="false" outlineLevel="0" collapsed="false">
      <c r="B39" s="3" t="s">
        <v>281</v>
      </c>
      <c r="C39" s="4" t="s">
        <v>282</v>
      </c>
      <c r="D39" s="2" t="s">
        <v>283</v>
      </c>
    </row>
    <row r="40" customFormat="false" ht="15" hidden="false" customHeight="false" outlineLevel="0" collapsed="false">
      <c r="B40" s="3" t="s">
        <v>284</v>
      </c>
      <c r="C40" s="4" t="s">
        <v>285</v>
      </c>
      <c r="D40" s="2" t="s">
        <v>286</v>
      </c>
    </row>
    <row r="42" customFormat="false" ht="15" hidden="false" customHeight="false" outlineLevel="0" collapsed="false">
      <c r="B42" s="3" t="s">
        <v>287</v>
      </c>
    </row>
    <row r="43" customFormat="false" ht="15" hidden="false" customHeight="false" outlineLevel="0" collapsed="false">
      <c r="B43" s="7" t="s">
        <v>288</v>
      </c>
      <c r="C43" s="7"/>
      <c r="D43" s="7"/>
    </row>
    <row r="44" customFormat="false" ht="15" hidden="false" customHeight="false" outlineLevel="0" collapsed="false">
      <c r="B44" s="7" t="s">
        <v>289</v>
      </c>
      <c r="C44" s="7"/>
      <c r="D44" s="7"/>
    </row>
    <row r="45" customFormat="false" ht="15" hidden="false" customHeight="false" outlineLevel="0" collapsed="false">
      <c r="B45" s="7" t="s">
        <v>290</v>
      </c>
      <c r="C45" s="7"/>
      <c r="D45" s="7"/>
    </row>
    <row r="46" customFormat="false" ht="15" hidden="false" customHeight="false" outlineLevel="0" collapsed="false">
      <c r="B46" s="7" t="s">
        <v>291</v>
      </c>
      <c r="C46" s="7"/>
      <c r="D46" s="7"/>
    </row>
    <row r="47" customFormat="false" ht="15" hidden="false" customHeight="false" outlineLevel="0" collapsed="false">
      <c r="B47" s="7" t="s">
        <v>292</v>
      </c>
      <c r="C47" s="7"/>
      <c r="D47" s="7"/>
    </row>
  </sheetData>
  <mergeCells count="5">
    <mergeCell ref="B43:D43"/>
    <mergeCell ref="B44:D44"/>
    <mergeCell ref="B45:D45"/>
    <mergeCell ref="B46:D46"/>
    <mergeCell ref="B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6"/>
    <col collapsed="false" customWidth="true" hidden="false" outlineLevel="0" max="8" min="8" style="0" width="60"/>
  </cols>
  <sheetData>
    <row r="2" customFormat="false" ht="17.35" hidden="false" customHeight="false" outlineLevel="0" collapsed="false">
      <c r="B2" s="1" t="s">
        <v>293</v>
      </c>
    </row>
    <row r="3" customFormat="false" ht="15" hidden="false" customHeight="false" outlineLevel="0" collapsed="false">
      <c r="B3" s="2" t="s">
        <v>294</v>
      </c>
    </row>
    <row r="5" customFormat="false" ht="15" hidden="false" customHeight="false" outlineLevel="0" collapsed="false">
      <c r="B5" s="8" t="s">
        <v>295</v>
      </c>
      <c r="C5" s="9"/>
      <c r="D5" s="9"/>
      <c r="E5" s="9"/>
      <c r="F5" s="9"/>
    </row>
    <row r="6" customFormat="false" ht="15" hidden="false" customHeight="false" outlineLevel="0" collapsed="false">
      <c r="B6" s="3" t="s">
        <v>296</v>
      </c>
      <c r="C6" s="55" t="s">
        <v>142</v>
      </c>
      <c r="D6" s="55" t="s">
        <v>143</v>
      </c>
      <c r="E6" s="55" t="s">
        <v>144</v>
      </c>
      <c r="F6" s="55" t="s">
        <v>145</v>
      </c>
      <c r="H6" s="2" t="s">
        <v>297</v>
      </c>
    </row>
    <row r="7" customFormat="false" ht="15" hidden="false" customHeight="false" outlineLevel="0" collapsed="false">
      <c r="B7" s="56" t="n">
        <v>0.1</v>
      </c>
      <c r="C7" s="57" t="n">
        <f aca="false">(Compare!$C$30+Compare!$C$25*0.1*IF(Inputs!$C$11=0,Inputs!$C$7,((1+Inputs!$C$11)^Inputs!$C$7-1)/Inputs!$C$11)-Inputs!$C$19)/(Compare!$C$20*Inputs!$C$8*Inputs!$C$7)</f>
        <v>1.71673199570897</v>
      </c>
      <c r="D7" s="57" t="n">
        <f aca="false">(Compare!$D$30+Compare!$D$25*0.1*IF(Inputs!$C$11=0,Inputs!$C$7,((1+Inputs!$C$11)^Inputs!$C$7-1)/Inputs!$C$11)-Inputs!$C$19)/(Compare!$D$20*Inputs!$C$8*Inputs!$C$7)</f>
        <v>2.18555032686458</v>
      </c>
      <c r="E7" s="57" t="n">
        <f aca="false">(Compare!$E$30+Compare!$E$25*0.1*IF(Inputs!$C$11=0,Inputs!$C$7,((1+Inputs!$C$11)^Inputs!$C$7-1)/Inputs!$C$11)-Inputs!$C$19)/(Compare!$E$20*Inputs!$C$8*Inputs!$C$7)</f>
        <v>2.05953860832441</v>
      </c>
      <c r="F7" s="57" t="n">
        <f aca="false">(Compare!$F$30+Compare!$F$25*0.1*IF(Inputs!$C$11=0,Inputs!$C$7,((1+Inputs!$C$11)^Inputs!$C$7-1)/Inputs!$C$11)-Inputs!$C$19)/(Compare!$F$20*Inputs!$C$8*Inputs!$C$7)</f>
        <v>2.25059835312756</v>
      </c>
    </row>
    <row r="8" customFormat="false" ht="15" hidden="false" customHeight="false" outlineLevel="0" collapsed="false">
      <c r="B8" s="56" t="n">
        <v>0.2</v>
      </c>
      <c r="C8" s="57" t="n">
        <f aca="false">(Compare!$C$30+Compare!$C$25*0.2*IF(Inputs!$C$11=0,Inputs!$C$7,((1+Inputs!$C$11)^Inputs!$C$7-1)/Inputs!$C$11)-Inputs!$C$19)/(Compare!$C$20*Inputs!$C$8*Inputs!$C$7)</f>
        <v>2.03747421454226</v>
      </c>
      <c r="D8" s="57" t="n">
        <f aca="false">(Compare!$D$30+Compare!$D$25*0.2*IF(Inputs!$C$11=0,Inputs!$C$7,((1+Inputs!$C$11)^Inputs!$C$7-1)/Inputs!$C$11)-Inputs!$C$19)/(Compare!$D$20*Inputs!$C$8*Inputs!$C$7)</f>
        <v>2.48208822558526</v>
      </c>
      <c r="E8" s="57" t="n">
        <f aca="false">(Compare!$E$30+Compare!$E$25*0.2*IF(Inputs!$C$11=0,Inputs!$C$7,((1+Inputs!$C$11)^Inputs!$C$7-1)/Inputs!$C$11)-Inputs!$C$19)/(Compare!$E$20*Inputs!$C$8*Inputs!$C$7)</f>
        <v>2.47966259925042</v>
      </c>
      <c r="F8" s="57" t="n">
        <f aca="false">(Compare!$F$30+Compare!$F$25*0.2*IF(Inputs!$C$11=0,Inputs!$C$7,((1+Inputs!$C$11)^Inputs!$C$7-1)/Inputs!$C$11)-Inputs!$C$19)/(Compare!$F$20*Inputs!$C$8*Inputs!$C$7)</f>
        <v>2.58404440233278</v>
      </c>
    </row>
    <row r="9" customFormat="false" ht="15" hidden="false" customHeight="false" outlineLevel="0" collapsed="false">
      <c r="B9" s="56" t="n">
        <v>0.3</v>
      </c>
      <c r="C9" s="57" t="n">
        <f aca="false">(Compare!$C$30+Compare!$C$25*0.3*IF(Inputs!$C$11=0,Inputs!$C$7,((1+Inputs!$C$11)^Inputs!$C$7-1)/Inputs!$C$11)-Inputs!$C$19)/(Compare!$C$20*Inputs!$C$8*Inputs!$C$7)</f>
        <v>2.35821643337554</v>
      </c>
      <c r="D9" s="57" t="n">
        <f aca="false">(Compare!$D$30+Compare!$D$25*0.3*IF(Inputs!$C$11=0,Inputs!$C$7,((1+Inputs!$C$11)^Inputs!$C$7-1)/Inputs!$C$11)-Inputs!$C$19)/(Compare!$D$20*Inputs!$C$8*Inputs!$C$7)</f>
        <v>2.77862612430594</v>
      </c>
      <c r="E9" s="57" t="n">
        <f aca="false">(Compare!$E$30+Compare!$E$25*0.3*IF(Inputs!$C$11=0,Inputs!$C$7,((1+Inputs!$C$11)^Inputs!$C$7-1)/Inputs!$C$11)-Inputs!$C$19)/(Compare!$E$20*Inputs!$C$8*Inputs!$C$7)</f>
        <v>2.89978659017643</v>
      </c>
      <c r="F9" s="57" t="n">
        <f aca="false">(Compare!$F$30+Compare!$F$25*0.3*IF(Inputs!$C$11=0,Inputs!$C$7,((1+Inputs!$C$11)^Inputs!$C$7-1)/Inputs!$C$11)-Inputs!$C$19)/(Compare!$F$20*Inputs!$C$8*Inputs!$C$7)</f>
        <v>2.91749045153801</v>
      </c>
    </row>
    <row r="10" customFormat="false" ht="15" hidden="false" customHeight="false" outlineLevel="0" collapsed="false">
      <c r="B10" s="56" t="n">
        <v>0.4</v>
      </c>
      <c r="C10" s="57" t="n">
        <f aca="false">(Compare!$C$30+Compare!$C$25*0.4*IF(Inputs!$C$11=0,Inputs!$C$7,((1+Inputs!$C$11)^Inputs!$C$7-1)/Inputs!$C$11)-Inputs!$C$19)/(Compare!$C$20*Inputs!$C$8*Inputs!$C$7)</f>
        <v>2.67895865220883</v>
      </c>
      <c r="D10" s="57" t="n">
        <f aca="false">(Compare!$D$30+Compare!$D$25*0.4*IF(Inputs!$C$11=0,Inputs!$C$7,((1+Inputs!$C$11)^Inputs!$C$7-1)/Inputs!$C$11)-Inputs!$C$19)/(Compare!$D$20*Inputs!$C$8*Inputs!$C$7)</f>
        <v>3.07516402302661</v>
      </c>
      <c r="E10" s="57" t="n">
        <f aca="false">(Compare!$E$30+Compare!$E$25*0.4*IF(Inputs!$C$11=0,Inputs!$C$7,((1+Inputs!$C$11)^Inputs!$C$7-1)/Inputs!$C$11)-Inputs!$C$19)/(Compare!$E$20*Inputs!$C$8*Inputs!$C$7)</f>
        <v>3.31991058110244</v>
      </c>
      <c r="F10" s="57" t="n">
        <f aca="false">(Compare!$F$30+Compare!$F$25*0.4*IF(Inputs!$C$11=0,Inputs!$C$7,((1+Inputs!$C$11)^Inputs!$C$7-1)/Inputs!$C$11)-Inputs!$C$19)/(Compare!$F$20*Inputs!$C$8*Inputs!$C$7)</f>
        <v>3.25093650074324</v>
      </c>
    </row>
    <row r="11" customFormat="false" ht="15" hidden="false" customHeight="false" outlineLevel="0" collapsed="false">
      <c r="B11" s="56" t="n">
        <v>0.6</v>
      </c>
      <c r="C11" s="57" t="n">
        <f aca="false">(Compare!$C$30+Compare!$C$25*0.6*IF(Inputs!$C$11=0,Inputs!$C$7,((1+Inputs!$C$11)^Inputs!$C$7-1)/Inputs!$C$11)-Inputs!$C$19)/(Compare!$C$20*Inputs!$C$8*Inputs!$C$7)</f>
        <v>3.32044308987541</v>
      </c>
      <c r="D11" s="57" t="n">
        <f aca="false">(Compare!$D$30+Compare!$D$25*0.6*IF(Inputs!$C$11=0,Inputs!$C$7,((1+Inputs!$C$11)^Inputs!$C$7-1)/Inputs!$C$11)-Inputs!$C$19)/(Compare!$D$20*Inputs!$C$8*Inputs!$C$7)</f>
        <v>3.66823982046797</v>
      </c>
      <c r="E11" s="57" t="n">
        <f aca="false">(Compare!$E$30+Compare!$E$25*0.6*IF(Inputs!$C$11=0,Inputs!$C$7,((1+Inputs!$C$11)^Inputs!$C$7-1)/Inputs!$C$11)-Inputs!$C$19)/(Compare!$E$20*Inputs!$C$8*Inputs!$C$7)</f>
        <v>4.16015856295447</v>
      </c>
      <c r="F11" s="57" t="n">
        <f aca="false">(Compare!$F$30+Compare!$F$25*0.6*IF(Inputs!$C$11=0,Inputs!$C$7,((1+Inputs!$C$11)^Inputs!$C$7-1)/Inputs!$C$11)-Inputs!$C$19)/(Compare!$F$20*Inputs!$C$8*Inputs!$C$7)</f>
        <v>3.91782859915369</v>
      </c>
    </row>
    <row r="13" customFormat="false" ht="15" hidden="false" customHeight="false" outlineLevel="0" collapsed="false">
      <c r="B13" s="8" t="s">
        <v>298</v>
      </c>
      <c r="C13" s="9"/>
      <c r="D13" s="9"/>
      <c r="E13" s="9"/>
      <c r="F13" s="9"/>
    </row>
    <row r="14" customFormat="false" ht="15" hidden="false" customHeight="false" outlineLevel="0" collapsed="false">
      <c r="B14" s="3" t="s">
        <v>296</v>
      </c>
      <c r="C14" s="55" t="s">
        <v>142</v>
      </c>
      <c r="D14" s="55" t="s">
        <v>143</v>
      </c>
      <c r="E14" s="55" t="s">
        <v>144</v>
      </c>
      <c r="F14" s="55" t="s">
        <v>145</v>
      </c>
      <c r="H14" s="2" t="s">
        <v>299</v>
      </c>
    </row>
    <row r="15" customFormat="false" ht="15" hidden="false" customHeight="false" outlineLevel="0" collapsed="false">
      <c r="B15" s="58" t="n">
        <v>3</v>
      </c>
      <c r="C15" s="57" t="n">
        <f aca="false">(Compare!$C$30+Compare!$C$25*Inputs!$C$10*IF(Inputs!$C$11=0,3,((1+Inputs!$C$11)^3-1)/Inputs!$C$11)-Inputs!$C$19)/(Compare!$C$20*Inputs!$C$8*3)</f>
        <v>5.29478369391884</v>
      </c>
      <c r="D15" s="57" t="n">
        <f aca="false">(Compare!$D$30+Compare!$D$25*Inputs!$C$10*IF(Inputs!$C$11=0,3,((1+Inputs!$C$11)^3-1)/Inputs!$C$11)-Inputs!$C$19)/(Compare!$D$20*Inputs!$C$8*3)</f>
        <v>6.88978389125436</v>
      </c>
      <c r="E15" s="57" t="n">
        <f aca="false">(Compare!$E$30+Compare!$E$25*Inputs!$C$10*IF(Inputs!$C$11=0,3,((1+Inputs!$C$11)^3-1)/Inputs!$C$11)-Inputs!$C$19)/(Compare!$E$20*Inputs!$C$8*3)</f>
        <v>6.30496337318001</v>
      </c>
      <c r="F15" s="57" t="n">
        <f aca="false">(Compare!$F$30+Compare!$F$25*Inputs!$C$10*IF(Inputs!$C$11=0,3,((1+Inputs!$C$11)^3-1)/Inputs!$C$11)-Inputs!$C$19)/(Compare!$F$20*Inputs!$C$8*3)</f>
        <v>7.05739977815156</v>
      </c>
    </row>
    <row r="16" customFormat="false" ht="15" hidden="false" customHeight="false" outlineLevel="0" collapsed="false">
      <c r="B16" s="58" t="n">
        <v>5</v>
      </c>
      <c r="C16" s="57" t="n">
        <f aca="false">(Compare!$C$30+Compare!$C$25*Inputs!$C$10*IF(Inputs!$C$11=0,5,((1+Inputs!$C$11)^5-1)/Inputs!$C$11)-Inputs!$C$19)/(Compare!$C$20*Inputs!$C$8*5)</f>
        <v>3.43346399141794</v>
      </c>
      <c r="D16" s="57" t="n">
        <f aca="false">(Compare!$D$30+Compare!$D$25*Inputs!$C$10*IF(Inputs!$C$11=0,5,((1+Inputs!$C$11)^5-1)/Inputs!$C$11)-Inputs!$C$19)/(Compare!$D$20*Inputs!$C$8*5)</f>
        <v>4.37110065372916</v>
      </c>
      <c r="E16" s="57" t="n">
        <f aca="false">(Compare!$E$30+Compare!$E$25*Inputs!$C$10*IF(Inputs!$C$11=0,5,((1+Inputs!$C$11)^5-1)/Inputs!$C$11)-Inputs!$C$19)/(Compare!$E$20*Inputs!$C$8*5)</f>
        <v>4.11907721664881</v>
      </c>
      <c r="F16" s="57" t="n">
        <f aca="false">(Compare!$F$30+Compare!$F$25*Inputs!$C$10*IF(Inputs!$C$11=0,5,((1+Inputs!$C$11)^5-1)/Inputs!$C$11)-Inputs!$C$19)/(Compare!$F$20*Inputs!$C$8*5)</f>
        <v>4.50119670625512</v>
      </c>
    </row>
    <row r="17" customFormat="false" ht="15" hidden="false" customHeight="false" outlineLevel="0" collapsed="false">
      <c r="B17" s="58" t="n">
        <v>7</v>
      </c>
      <c r="C17" s="57" t="n">
        <f aca="false">(Compare!$C$30+Compare!$C$25*Inputs!$C$10*IF(Inputs!$C$11=0,7,((1+Inputs!$C$11)^7-1)/Inputs!$C$11)-Inputs!$C$19)/(Compare!$C$20*Inputs!$C$8*7)</f>
        <v>2.63575554748898</v>
      </c>
      <c r="D17" s="57" t="n">
        <f aca="false">(Compare!$D$30+Compare!$D$25*Inputs!$C$10*IF(Inputs!$C$11=0,7,((1+Inputs!$C$11)^7-1)/Inputs!$C$11)-Inputs!$C$19)/(Compare!$D$20*Inputs!$C$8*7)</f>
        <v>3.29166498050407</v>
      </c>
      <c r="E17" s="57" t="n">
        <f aca="false">(Compare!$E$30+Compare!$E$25*Inputs!$C$10*IF(Inputs!$C$11=0,7,((1+Inputs!$C$11)^7-1)/Inputs!$C$11)-Inputs!$C$19)/(Compare!$E$20*Inputs!$C$8*7)</f>
        <v>3.18226886384973</v>
      </c>
      <c r="F17" s="57" t="n">
        <f aca="false">(Compare!$F$30+Compare!$F$25*Inputs!$C$10*IF(Inputs!$C$11=0,7,((1+Inputs!$C$11)^7-1)/Inputs!$C$11)-Inputs!$C$19)/(Compare!$F$20*Inputs!$C$8*7)</f>
        <v>3.40568110401378</v>
      </c>
    </row>
    <row r="18" customFormat="false" ht="15" hidden="false" customHeight="false" outlineLevel="0" collapsed="false">
      <c r="B18" s="58" t="n">
        <v>10</v>
      </c>
      <c r="C18" s="57" t="n">
        <f aca="false">(Compare!$C$30+Compare!$C$25*Inputs!$C$10*IF(Inputs!$C$11=0,10,((1+Inputs!$C$11)^10-1)/Inputs!$C$11)-Inputs!$C$19)/(Compare!$C$20*Inputs!$C$8*10)</f>
        <v>2.03747421454226</v>
      </c>
      <c r="D18" s="57" t="n">
        <f aca="false">(Compare!$D$30+Compare!$D$25*Inputs!$C$10*IF(Inputs!$C$11=0,10,((1+Inputs!$C$11)^10-1)/Inputs!$C$11)-Inputs!$C$19)/(Compare!$D$20*Inputs!$C$8*10)</f>
        <v>2.48208822558526</v>
      </c>
      <c r="E18" s="57" t="n">
        <f aca="false">(Compare!$E$30+Compare!$E$25*Inputs!$C$10*IF(Inputs!$C$11=0,10,((1+Inputs!$C$11)^10-1)/Inputs!$C$11)-Inputs!$C$19)/(Compare!$E$20*Inputs!$C$8*10)</f>
        <v>2.47966259925042</v>
      </c>
      <c r="F18" s="57" t="n">
        <f aca="false">(Compare!$F$30+Compare!$F$25*Inputs!$C$10*IF(Inputs!$C$11=0,10,((1+Inputs!$C$11)^10-1)/Inputs!$C$11)-Inputs!$C$19)/(Compare!$F$20*Inputs!$C$8*10)</f>
        <v>2.58404440233278</v>
      </c>
    </row>
    <row r="19" customFormat="false" ht="15" hidden="false" customHeight="false" outlineLevel="0" collapsed="false">
      <c r="B19" s="58" t="n">
        <v>12</v>
      </c>
      <c r="C19" s="57" t="n">
        <f aca="false">(Compare!$C$30+Compare!$C$25*Inputs!$C$10*IF(Inputs!$C$11=0,12,((1+Inputs!$C$11)^12-1)/Inputs!$C$11)-Inputs!$C$19)/(Compare!$C$20*Inputs!$C$8*12)</f>
        <v>1.80480925172964</v>
      </c>
      <c r="D19" s="57" t="n">
        <f aca="false">(Compare!$D$30+Compare!$D$25*Inputs!$C$10*IF(Inputs!$C$11=0,12,((1+Inputs!$C$11)^12-1)/Inputs!$C$11)-Inputs!$C$19)/(Compare!$D$20*Inputs!$C$8*12)</f>
        <v>2.16725282089461</v>
      </c>
      <c r="E19" s="57" t="n">
        <f aca="false">(Compare!$E$30+Compare!$E$25*Inputs!$C$10*IF(Inputs!$C$11=0,12,((1+Inputs!$C$11)^12-1)/Inputs!$C$11)-Inputs!$C$19)/(Compare!$E$20*Inputs!$C$8*12)</f>
        <v>2.20642682968402</v>
      </c>
      <c r="F19" s="57" t="n">
        <f aca="false">(Compare!$F$30+Compare!$F$25*Inputs!$C$10*IF(Inputs!$C$11=0,12,((1+Inputs!$C$11)^12-1)/Inputs!$C$11)-Inputs!$C$19)/(Compare!$F$20*Inputs!$C$8*12)</f>
        <v>2.26451901834573</v>
      </c>
    </row>
    <row r="21" customFormat="false" ht="15" hidden="false" customHeight="false" outlineLevel="0" collapsed="false">
      <c r="B21" s="8" t="s">
        <v>300</v>
      </c>
      <c r="C21" s="9"/>
      <c r="D21" s="9"/>
      <c r="E21" s="9"/>
      <c r="F21" s="9"/>
    </row>
    <row r="22" customFormat="false" ht="15" hidden="false" customHeight="false" outlineLevel="0" collapsed="false">
      <c r="B22" s="3" t="s">
        <v>301</v>
      </c>
      <c r="C22" s="3" t="s">
        <v>302</v>
      </c>
      <c r="H22" s="2" t="s">
        <v>303</v>
      </c>
    </row>
    <row r="23" customFormat="false" ht="15" hidden="false" customHeight="false" outlineLevel="0" collapsed="false">
      <c r="B23" s="4" t="s">
        <v>304</v>
      </c>
      <c r="C23" s="32" t="n">
        <f aca="false">Compare!$C$37*(Compare!$D$20*Inputs!$C$8*Inputs!$C$7)-Compare!$D$29-Compare!$D$25*Inputs!$C$10*Inputs!$C$33+Inputs!$C$19</f>
        <v>3683.79804693292</v>
      </c>
      <c r="H23" s="2" t="s">
        <v>305</v>
      </c>
    </row>
    <row r="24" customFormat="false" ht="15" hidden="false" customHeight="false" outlineLevel="0" collapsed="false">
      <c r="B24" s="4" t="s">
        <v>306</v>
      </c>
      <c r="C24" s="31" t="n">
        <f aca="false">Compare!$C$37*(Compare!$F$20*Inputs!$C$8*Inputs!$C$7)-Compare!$F$29-Compare!$F$25*Inputs!$C$10*Inputs!$C$33+Inputs!$C$19</f>
        <v>640.310344094512</v>
      </c>
      <c r="H24" s="2" t="s">
        <v>307</v>
      </c>
    </row>
    <row r="25" customFormat="false" ht="15" hidden="false" customHeight="false" outlineLevel="0" collapsed="false">
      <c r="B25" s="4" t="s">
        <v>308</v>
      </c>
      <c r="C25" s="31" t="n">
        <f aca="false">Compare!$C$37*(Compare!$E$20*Inputs!$C$8*Inputs!$C$7)-Compare!$E$29-Compare!$E$25*Inputs!$C$10*Inputs!$C$33+Inputs!$C$19</f>
        <v>482.795973582417</v>
      </c>
      <c r="H25" s="2" t="s">
        <v>309</v>
      </c>
    </row>
    <row r="26" customFormat="false" ht="15" hidden="false" customHeight="false" outlineLevel="0" collapsed="false">
      <c r="B26" s="4" t="s">
        <v>310</v>
      </c>
      <c r="C26" s="59" t="n">
        <f aca="false">INDEX(Compare!$C$39:$F$39, MATCH(MIN(Compare!$C$37:$F$37),Compare!$C$37:$F$37,0))</f>
        <v>0.314842972287967</v>
      </c>
      <c r="H26" s="2" t="s">
        <v>311</v>
      </c>
    </row>
    <row r="28" customFormat="false" ht="15" hidden="false" customHeight="false" outlineLevel="0" collapsed="false">
      <c r="B28" s="8" t="s">
        <v>312</v>
      </c>
      <c r="C28" s="9"/>
      <c r="D28" s="9"/>
      <c r="E28" s="9"/>
      <c r="F28" s="9"/>
    </row>
    <row r="29" customFormat="false" ht="15" hidden="false" customHeight="false" outlineLevel="0" collapsed="false">
      <c r="B29" s="3" t="s">
        <v>82</v>
      </c>
      <c r="C29" s="3" t="s">
        <v>85</v>
      </c>
      <c r="D29" s="3" t="s">
        <v>313</v>
      </c>
      <c r="H29" s="2" t="s">
        <v>314</v>
      </c>
    </row>
    <row r="30" customFormat="false" ht="15" hidden="false" customHeight="false" outlineLevel="0" collapsed="false">
      <c r="B30" s="56" t="n">
        <v>8</v>
      </c>
      <c r="C30" s="25" t="n">
        <f aca="false">Inputs!$C$22*Inputs!$C$23*8</f>
        <v>3072</v>
      </c>
      <c r="D30" s="60" t="n">
        <f aca="false">(INDEX(Compare!$C$33:$F$33,MATCH(MIN(Compare!$C$37:$F$37),Compare!$C$37:$F$37,0))+(Inputs!$C$22*Inputs!$C$23*8-Inputs!$C$26))/INDEX(Compare!$C$36:$F$36,MATCH(MIN(Compare!$C$37:$F$37),Compare!$C$37:$F$37,0))</f>
        <v>1.38645951588773</v>
      </c>
    </row>
    <row r="31" customFormat="false" ht="15" hidden="false" customHeight="false" outlineLevel="0" collapsed="false">
      <c r="B31" s="56" t="n">
        <v>15</v>
      </c>
      <c r="C31" s="25" t="n">
        <f aca="false">Inputs!$C$22*Inputs!$C$23*15</f>
        <v>5760</v>
      </c>
      <c r="D31" s="60" t="n">
        <f aca="false">(INDEX(Compare!$C$33:$F$33,MATCH(MIN(Compare!$C$37:$F$37),Compare!$C$37:$F$37,0))+(Inputs!$C$22*Inputs!$C$23*15-Inputs!$C$26))/INDEX(Compare!$C$36:$F$36,MATCH(MIN(Compare!$C$37:$F$37),Compare!$C$37:$F$37,0))</f>
        <v>1.55097586572823</v>
      </c>
    </row>
    <row r="32" customFormat="false" ht="15" hidden="false" customHeight="false" outlineLevel="0" collapsed="false">
      <c r="B32" s="56" t="n">
        <v>25</v>
      </c>
      <c r="C32" s="25" t="n">
        <f aca="false">Inputs!$C$22*Inputs!$C$23*25</f>
        <v>9600</v>
      </c>
      <c r="D32" s="60" t="n">
        <f aca="false">(INDEX(Compare!$C$33:$F$33,MATCH(MIN(Compare!$C$37:$F$37),Compare!$C$37:$F$37,0))+(Inputs!$C$22*Inputs!$C$23*25-Inputs!$C$26))/INDEX(Compare!$C$36:$F$36,MATCH(MIN(Compare!$C$37:$F$37),Compare!$C$37:$F$37,0))</f>
        <v>1.78599922264322</v>
      </c>
    </row>
    <row r="33" customFormat="false" ht="15" hidden="false" customHeight="false" outlineLevel="0" collapsed="false">
      <c r="B33" s="56" t="n">
        <v>35.7</v>
      </c>
      <c r="C33" s="25" t="n">
        <f aca="false">Inputs!$C$22*Inputs!$C$23*35.7</f>
        <v>13708.8</v>
      </c>
      <c r="D33" s="60" t="n">
        <f aca="false">(INDEX(Compare!$C$33:$F$33,MATCH(MIN(Compare!$C$37:$F$37),Compare!$C$37:$F$37,0))+(Inputs!$C$22*Inputs!$C$23*35.7-Inputs!$C$26))/INDEX(Compare!$C$36:$F$36,MATCH(MIN(Compare!$C$37:$F$37),Compare!$C$37:$F$37,0))</f>
        <v>2.03747421454226</v>
      </c>
    </row>
    <row r="34" customFormat="false" ht="15" hidden="false" customHeight="false" outlineLevel="0" collapsed="false">
      <c r="B34" s="56" t="n">
        <v>45</v>
      </c>
      <c r="C34" s="25" t="n">
        <f aca="false">Inputs!$C$22*Inputs!$C$23*45</f>
        <v>17280</v>
      </c>
      <c r="D34" s="60" t="n">
        <f aca="false">(INDEX(Compare!$C$33:$F$33,MATCH(MIN(Compare!$C$37:$F$37),Compare!$C$37:$F$37,0))+(Inputs!$C$22*Inputs!$C$23*45-Inputs!$C$26))/INDEX(Compare!$C$36:$F$36,MATCH(MIN(Compare!$C$37:$F$37),Compare!$C$37:$F$37,0))</f>
        <v>2.2560459364732</v>
      </c>
    </row>
    <row r="35" customFormat="false" ht="15" hidden="false" customHeight="false" outlineLevel="0" collapsed="false">
      <c r="B35" s="33" t="s">
        <v>315</v>
      </c>
      <c r="C35" s="33"/>
      <c r="D35" s="33"/>
      <c r="E35" s="33"/>
      <c r="F35" s="33"/>
      <c r="G35" s="33"/>
      <c r="H35" s="33"/>
    </row>
  </sheetData>
  <mergeCells count="1">
    <mergeCell ref="B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62"/>
  </cols>
  <sheetData>
    <row r="2" customFormat="false" ht="17.35" hidden="false" customHeight="false" outlineLevel="0" collapsed="false">
      <c r="B2" s="1" t="s">
        <v>316</v>
      </c>
    </row>
    <row r="3" customFormat="false" ht="15" hidden="false" customHeight="false" outlineLevel="0" collapsed="false">
      <c r="B3" s="2" t="s">
        <v>317</v>
      </c>
    </row>
    <row r="5" customFormat="false" ht="15" hidden="false" customHeight="false" outlineLevel="0" collapsed="false">
      <c r="B5" s="8" t="s">
        <v>318</v>
      </c>
      <c r="C5" s="8" t="s">
        <v>319</v>
      </c>
      <c r="D5" s="8" t="s">
        <v>320</v>
      </c>
      <c r="E5" s="8" t="s">
        <v>321</v>
      </c>
      <c r="F5" s="8" t="s">
        <v>322</v>
      </c>
    </row>
    <row r="6" customFormat="false" ht="15" hidden="false" customHeight="false" outlineLevel="0" collapsed="false">
      <c r="B6" s="22" t="s">
        <v>323</v>
      </c>
      <c r="C6" s="29" t="n">
        <f aca="false">INDEX(Compare!$C$20:$F$20, MATCH(MIN(Compare!$C$37:$F$37),Compare!$C$37:$F$37,0))</f>
        <v>1633.88016</v>
      </c>
      <c r="D6" s="25" t="n">
        <f aca="false">INDEX(Compare!$C$33:$F$33, MATCH(MIN(Compare!$C$37:$F$37),Compare!$C$37:$F$37,0))/(Inputs!$C$7*12)</f>
        <v>277.415724637681</v>
      </c>
      <c r="E6" s="61" t="n">
        <f aca="false">MIN(Compare!$C$37:$F$37)</f>
        <v>2.03747421454226</v>
      </c>
      <c r="F6" s="22" t="s">
        <v>324</v>
      </c>
      <c r="G6" s="2" t="s">
        <v>325</v>
      </c>
    </row>
    <row r="7" customFormat="false" ht="15" hidden="false" customHeight="false" outlineLevel="0" collapsed="false">
      <c r="B7" s="24" t="s">
        <v>326</v>
      </c>
      <c r="C7" s="15" t="n">
        <v>523</v>
      </c>
      <c r="D7" s="17" t="n">
        <v>722.1</v>
      </c>
      <c r="E7" s="60" t="n">
        <f aca="false">D7*12/C7</f>
        <v>16.5682600382409</v>
      </c>
      <c r="F7" s="62" t="n">
        <f aca="false">E7/$E$6</f>
        <v>8.13176427951172</v>
      </c>
      <c r="G7" s="2" t="s">
        <v>327</v>
      </c>
    </row>
    <row r="8" customFormat="false" ht="15" hidden="false" customHeight="false" outlineLevel="0" collapsed="false">
      <c r="B8" s="24" t="s">
        <v>328</v>
      </c>
      <c r="C8" s="15" t="n">
        <v>523</v>
      </c>
      <c r="D8" s="17" t="n">
        <v>372.1</v>
      </c>
      <c r="E8" s="60" t="n">
        <f aca="false">D8*12/C8</f>
        <v>8.5376673040153</v>
      </c>
      <c r="F8" s="62" t="n">
        <f aca="false">E8/$E$6</f>
        <v>4.19031919181043</v>
      </c>
      <c r="G8" s="2" t="s">
        <v>329</v>
      </c>
    </row>
    <row r="10" customFormat="false" ht="15" hidden="false" customHeight="false" outlineLevel="0" collapsed="false">
      <c r="B10" s="3" t="s">
        <v>330</v>
      </c>
      <c r="C10" s="63" t="n">
        <f aca="false">C6/C7</f>
        <v>3.12405384321224</v>
      </c>
    </row>
    <row r="11" customFormat="false" ht="15" hidden="false" customHeight="false" outlineLevel="0" collapsed="false">
      <c r="B11" s="3" t="s">
        <v>331</v>
      </c>
      <c r="C11" s="31" t="n">
        <f aca="false">C10*D7*12</f>
        <v>27070.5513622027</v>
      </c>
      <c r="G11" s="2" t="s">
        <v>332</v>
      </c>
    </row>
    <row r="13" customFormat="false" ht="15" hidden="false" customHeight="false" outlineLevel="0" collapsed="false">
      <c r="B13" s="3" t="s">
        <v>333</v>
      </c>
    </row>
    <row r="14" customFormat="false" ht="15" hidden="false" customHeight="false" outlineLevel="0" collapsed="false">
      <c r="B14" s="33" t="s">
        <v>334</v>
      </c>
      <c r="C14" s="33"/>
      <c r="D14" s="33"/>
      <c r="E14" s="33"/>
      <c r="F14" s="33"/>
      <c r="G14" s="33"/>
    </row>
    <row r="15" customFormat="false" ht="15" hidden="false" customHeight="false" outlineLevel="0" collapsed="false">
      <c r="B15" s="33" t="s">
        <v>335</v>
      </c>
      <c r="C15" s="33"/>
      <c r="D15" s="33"/>
      <c r="E15" s="33"/>
      <c r="F15" s="33"/>
      <c r="G15" s="33"/>
    </row>
    <row r="16" customFormat="false" ht="15" hidden="false" customHeight="false" outlineLevel="0" collapsed="false">
      <c r="B16" s="33" t="s">
        <v>336</v>
      </c>
      <c r="C16" s="33"/>
      <c r="D16" s="33"/>
      <c r="E16" s="33"/>
      <c r="F16" s="33"/>
      <c r="G16" s="33"/>
    </row>
    <row r="17" customFormat="false" ht="15" hidden="false" customHeight="false" outlineLevel="0" collapsed="false">
      <c r="B17" s="33" t="s">
        <v>337</v>
      </c>
      <c r="C17" s="33"/>
      <c r="D17" s="33"/>
      <c r="E17" s="33"/>
      <c r="F17" s="33"/>
      <c r="G17" s="33"/>
    </row>
  </sheetData>
  <mergeCells count="4">
    <mergeCell ref="B14:G14"/>
    <mergeCell ref="B15:G15"/>
    <mergeCell ref="B16:G16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92"/>
  </cols>
  <sheetData>
    <row r="2" customFormat="false" ht="17.35" hidden="false" customHeight="false" outlineLevel="0" collapsed="false">
      <c r="B2" s="1" t="s">
        <v>338</v>
      </c>
    </row>
    <row r="3" customFormat="false" ht="15" hidden="false" customHeight="false" outlineLevel="0" collapsed="false">
      <c r="B3" s="2" t="s">
        <v>339</v>
      </c>
    </row>
    <row r="5" customFormat="false" ht="15" hidden="false" customHeight="false" outlineLevel="0" collapsed="false">
      <c r="B5" s="8" t="s">
        <v>340</v>
      </c>
      <c r="C5" s="8" t="s">
        <v>40</v>
      </c>
      <c r="D5" s="8" t="s">
        <v>341</v>
      </c>
      <c r="E5" s="8" t="s">
        <v>342</v>
      </c>
    </row>
    <row r="6" customFormat="false" ht="22.35" hidden="false" customHeight="false" outlineLevel="0" collapsed="false">
      <c r="B6" s="22" t="s">
        <v>343</v>
      </c>
      <c r="C6" s="24" t="s">
        <v>344</v>
      </c>
      <c r="D6" s="24" t="s">
        <v>345</v>
      </c>
      <c r="E6" s="64" t="s">
        <v>346</v>
      </c>
    </row>
    <row r="7" customFormat="false" ht="15" hidden="false" customHeight="false" outlineLevel="0" collapsed="false">
      <c r="B7" s="22" t="s">
        <v>347</v>
      </c>
      <c r="C7" s="24" t="s">
        <v>348</v>
      </c>
      <c r="D7" s="24" t="s">
        <v>349</v>
      </c>
      <c r="E7" s="64" t="s">
        <v>350</v>
      </c>
    </row>
    <row r="8" customFormat="false" ht="15" hidden="false" customHeight="false" outlineLevel="0" collapsed="false">
      <c r="B8" s="22" t="s">
        <v>351</v>
      </c>
      <c r="C8" s="24" t="s">
        <v>352</v>
      </c>
      <c r="D8" s="24" t="s">
        <v>345</v>
      </c>
      <c r="E8" s="64" t="s">
        <v>353</v>
      </c>
    </row>
    <row r="9" customFormat="false" ht="15" hidden="false" customHeight="false" outlineLevel="0" collapsed="false">
      <c r="B9" s="22" t="s">
        <v>354</v>
      </c>
      <c r="C9" s="24" t="s">
        <v>355</v>
      </c>
      <c r="D9" s="24" t="s">
        <v>345</v>
      </c>
      <c r="E9" s="64" t="s">
        <v>356</v>
      </c>
    </row>
    <row r="10" customFormat="false" ht="22.35" hidden="false" customHeight="false" outlineLevel="0" collapsed="false">
      <c r="B10" s="22" t="s">
        <v>357</v>
      </c>
      <c r="C10" s="24" t="s">
        <v>358</v>
      </c>
      <c r="D10" s="65" t="s">
        <v>91</v>
      </c>
      <c r="E10" s="64" t="s">
        <v>359</v>
      </c>
    </row>
    <row r="11" customFormat="false" ht="15" hidden="false" customHeight="false" outlineLevel="0" collapsed="false">
      <c r="B11" s="22" t="s">
        <v>360</v>
      </c>
      <c r="C11" s="24" t="s">
        <v>361</v>
      </c>
      <c r="D11" s="24" t="s">
        <v>362</v>
      </c>
      <c r="E11" s="64" t="s">
        <v>363</v>
      </c>
    </row>
    <row r="12" customFormat="false" ht="22.35" hidden="false" customHeight="false" outlineLevel="0" collapsed="false">
      <c r="B12" s="22" t="s">
        <v>364</v>
      </c>
      <c r="C12" s="24" t="s">
        <v>365</v>
      </c>
      <c r="D12" s="24" t="s">
        <v>345</v>
      </c>
      <c r="E12" s="64" t="s">
        <v>366</v>
      </c>
    </row>
    <row r="13" customFormat="false" ht="22.35" hidden="false" customHeight="false" outlineLevel="0" collapsed="false">
      <c r="B13" s="22" t="s">
        <v>367</v>
      </c>
      <c r="C13" s="24" t="s">
        <v>368</v>
      </c>
      <c r="D13" s="65" t="s">
        <v>369</v>
      </c>
      <c r="E13" s="64" t="s">
        <v>370</v>
      </c>
    </row>
    <row r="14" customFormat="false" ht="22.35" hidden="false" customHeight="false" outlineLevel="0" collapsed="false">
      <c r="B14" s="22" t="s">
        <v>371</v>
      </c>
      <c r="C14" s="24" t="s">
        <v>372</v>
      </c>
      <c r="D14" s="24" t="s">
        <v>373</v>
      </c>
      <c r="E14" s="64" t="s">
        <v>374</v>
      </c>
    </row>
    <row r="15" customFormat="false" ht="15" hidden="false" customHeight="false" outlineLevel="0" collapsed="false">
      <c r="B15" s="22" t="s">
        <v>375</v>
      </c>
      <c r="C15" s="24" t="s">
        <v>376</v>
      </c>
      <c r="D15" s="24" t="s">
        <v>373</v>
      </c>
      <c r="E15" s="64" t="s">
        <v>377</v>
      </c>
    </row>
    <row r="16" customFormat="false" ht="15" hidden="false" customHeight="false" outlineLevel="0" collapsed="false">
      <c r="B16" s="22" t="s">
        <v>378</v>
      </c>
      <c r="C16" s="24" t="s">
        <v>379</v>
      </c>
      <c r="D16" s="24" t="s">
        <v>373</v>
      </c>
      <c r="E16" s="64" t="s">
        <v>380</v>
      </c>
    </row>
    <row r="17" customFormat="false" ht="15" hidden="false" customHeight="false" outlineLevel="0" collapsed="false">
      <c r="B17" s="22" t="s">
        <v>381</v>
      </c>
      <c r="C17" s="24" t="s">
        <v>382</v>
      </c>
      <c r="D17" s="24" t="s">
        <v>373</v>
      </c>
      <c r="E17" s="64" t="s">
        <v>383</v>
      </c>
    </row>
    <row r="18" customFormat="false" ht="15" hidden="false" customHeight="false" outlineLevel="0" collapsed="false">
      <c r="B18" s="22" t="s">
        <v>384</v>
      </c>
      <c r="C18" s="24" t="s">
        <v>385</v>
      </c>
      <c r="D18" s="24" t="s">
        <v>386</v>
      </c>
      <c r="E18" s="64" t="s">
        <v>387</v>
      </c>
    </row>
    <row r="19" customFormat="false" ht="15" hidden="false" customHeight="false" outlineLevel="0" collapsed="false">
      <c r="B19" s="22" t="s">
        <v>388</v>
      </c>
      <c r="C19" s="24" t="s">
        <v>389</v>
      </c>
      <c r="D19" s="24" t="s">
        <v>386</v>
      </c>
      <c r="E19" s="64" t="s">
        <v>390</v>
      </c>
    </row>
    <row r="20" customFormat="false" ht="22.35" hidden="false" customHeight="false" outlineLevel="0" collapsed="false">
      <c r="B20" s="22" t="s">
        <v>391</v>
      </c>
      <c r="C20" s="24" t="s">
        <v>392</v>
      </c>
      <c r="D20" s="65" t="s">
        <v>112</v>
      </c>
      <c r="E20" s="64" t="s">
        <v>393</v>
      </c>
    </row>
    <row r="21" customFormat="false" ht="22.35" hidden="false" customHeight="false" outlineLevel="0" collapsed="false">
      <c r="B21" s="22" t="s">
        <v>104</v>
      </c>
      <c r="C21" s="24" t="s">
        <v>394</v>
      </c>
      <c r="D21" s="24" t="s">
        <v>386</v>
      </c>
      <c r="E21" s="64" t="s">
        <v>395</v>
      </c>
    </row>
    <row r="22" customFormat="false" ht="22.35" hidden="false" customHeight="false" outlineLevel="0" collapsed="false">
      <c r="B22" s="22" t="s">
        <v>396</v>
      </c>
      <c r="C22" s="24" t="s">
        <v>397</v>
      </c>
      <c r="D22" s="24" t="s">
        <v>398</v>
      </c>
      <c r="E22" s="64" t="s">
        <v>399</v>
      </c>
    </row>
    <row r="23" customFormat="false" ht="15" hidden="false" customHeight="false" outlineLevel="0" collapsed="false">
      <c r="B23" s="22" t="s">
        <v>326</v>
      </c>
      <c r="C23" s="24" t="s">
        <v>400</v>
      </c>
      <c r="D23" s="24" t="s">
        <v>386</v>
      </c>
      <c r="E23" s="64" t="s">
        <v>401</v>
      </c>
    </row>
    <row r="24" customFormat="false" ht="22.35" hidden="false" customHeight="false" outlineLevel="0" collapsed="false">
      <c r="B24" s="22" t="s">
        <v>402</v>
      </c>
      <c r="C24" s="24" t="s">
        <v>403</v>
      </c>
      <c r="D24" s="24" t="s">
        <v>386</v>
      </c>
      <c r="E24" s="64" t="s">
        <v>404</v>
      </c>
    </row>
    <row r="25" customFormat="false" ht="15" hidden="false" customHeight="false" outlineLevel="0" collapsed="false">
      <c r="B25" s="22" t="s">
        <v>405</v>
      </c>
      <c r="C25" s="24" t="s">
        <v>406</v>
      </c>
      <c r="D25" s="24" t="s">
        <v>345</v>
      </c>
      <c r="E25" s="64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2026-08-23T19:34:41Z</dcterms:created>
  <dc:creator>openpyxl</dc:creator>
  <dc:description/>
  <dc:language>en-US</dc:language>
  <cp:lastModifiedBy/>
  <dcterms:modified xsi:type="dcterms:W3CDTF">2026-08-23T19:34:41Z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